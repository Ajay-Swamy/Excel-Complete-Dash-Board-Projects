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ink/ink1.xml" ContentType="application/inkml+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Ajay\Documents\Data Science\Excel\Dash_board project\"/>
    </mc:Choice>
  </mc:AlternateContent>
  <xr:revisionPtr revIDLastSave="0" documentId="13_ncr:1_{36ABCDC6-21DA-4F26-8DEC-AD9BB43E6194}" xr6:coauthVersionLast="47" xr6:coauthVersionMax="47" xr10:uidLastSave="{00000000-0000-0000-0000-000000000000}"/>
  <bookViews>
    <workbookView xWindow="-108" yWindow="-108" windowWidth="23256" windowHeight="13176" tabRatio="998" activeTab="1" xr2:uid="{A2F4B1F5-E7FB-4F29-A4D1-E8418CC1BA70}"/>
  </bookViews>
  <sheets>
    <sheet name="raw_data" sheetId="1" r:id="rId1"/>
    <sheet name="DashBoard" sheetId="2" r:id="rId2"/>
    <sheet name="pivots" sheetId="3" r:id="rId3"/>
  </sheets>
  <definedNames>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5" i="3" l="1"/>
  <c r="E33" i="3"/>
  <c r="D35" i="3"/>
  <c r="D33" i="3"/>
  <c r="AA8" i="3"/>
  <c r="AA9" i="3"/>
  <c r="AA10" i="3"/>
  <c r="AA11" i="3"/>
  <c r="AA7" i="3"/>
  <c r="AC8" i="3"/>
  <c r="AC9" i="3"/>
  <c r="AC10" i="3"/>
  <c r="AC11" i="3"/>
  <c r="AC7" i="3"/>
  <c r="AB8" i="3"/>
  <c r="AB9" i="3"/>
  <c r="AB10" i="3"/>
  <c r="AB11" i="3"/>
  <c r="AB7" i="3"/>
  <c r="O8" i="3"/>
  <c r="O9" i="3"/>
  <c r="O10" i="3"/>
  <c r="O11" i="3"/>
  <c r="N8" i="3"/>
  <c r="N9" i="3"/>
  <c r="N10" i="3"/>
  <c r="N11" i="3"/>
  <c r="O7" i="3"/>
  <c r="N7" i="3"/>
  <c r="M8" i="3"/>
  <c r="M9" i="3"/>
  <c r="M10" i="3"/>
  <c r="M11" i="3"/>
  <c r="M7" i="3"/>
  <c r="I142" i="1"/>
  <c r="K142" i="1" s="1"/>
  <c r="L142" i="1" s="1"/>
  <c r="I141" i="1"/>
  <c r="K141" i="1" s="1"/>
  <c r="L141" i="1" s="1"/>
  <c r="I140" i="1"/>
  <c r="K140" i="1" s="1"/>
  <c r="L140" i="1" s="1"/>
  <c r="I139" i="1"/>
  <c r="K139" i="1" s="1"/>
  <c r="L139" i="1" s="1"/>
  <c r="I138" i="1"/>
  <c r="K138" i="1" s="1"/>
  <c r="L138" i="1" s="1"/>
  <c r="I137" i="1"/>
  <c r="K137" i="1" s="1"/>
  <c r="L137" i="1" s="1"/>
  <c r="I136" i="1"/>
  <c r="K136" i="1" s="1"/>
  <c r="L136" i="1" s="1"/>
  <c r="I135" i="1"/>
  <c r="K135" i="1" s="1"/>
  <c r="L135" i="1" s="1"/>
  <c r="I134" i="1"/>
  <c r="K134" i="1" s="1"/>
  <c r="L134" i="1" s="1"/>
  <c r="I133" i="1"/>
  <c r="K133" i="1" s="1"/>
  <c r="L133" i="1" s="1"/>
  <c r="I132" i="1"/>
  <c r="K132" i="1" s="1"/>
  <c r="L132" i="1" s="1"/>
  <c r="I131" i="1"/>
  <c r="K131" i="1" s="1"/>
  <c r="L131" i="1" s="1"/>
  <c r="I130" i="1"/>
  <c r="K130" i="1" s="1"/>
  <c r="L130" i="1" s="1"/>
  <c r="I129" i="1"/>
  <c r="K129" i="1" s="1"/>
  <c r="L129" i="1" s="1"/>
  <c r="I128" i="1"/>
  <c r="K128" i="1" s="1"/>
  <c r="L128" i="1" s="1"/>
  <c r="I127" i="1"/>
  <c r="K127" i="1" s="1"/>
  <c r="L127" i="1" s="1"/>
  <c r="I126" i="1"/>
  <c r="K126" i="1" s="1"/>
  <c r="L126" i="1" s="1"/>
  <c r="I125" i="1"/>
  <c r="K125" i="1" s="1"/>
  <c r="L125" i="1" s="1"/>
  <c r="I124" i="1"/>
  <c r="K124" i="1" s="1"/>
  <c r="L124" i="1" s="1"/>
  <c r="I123" i="1"/>
  <c r="K123" i="1" s="1"/>
  <c r="L123" i="1" s="1"/>
  <c r="I122" i="1"/>
  <c r="K122" i="1" s="1"/>
  <c r="L122" i="1" s="1"/>
  <c r="I121" i="1"/>
  <c r="K121" i="1" s="1"/>
  <c r="L121" i="1" s="1"/>
  <c r="I120" i="1"/>
  <c r="K120" i="1" s="1"/>
  <c r="L120" i="1" s="1"/>
  <c r="I119" i="1"/>
  <c r="K119" i="1" s="1"/>
  <c r="L119" i="1" s="1"/>
  <c r="I118" i="1"/>
  <c r="K118" i="1" s="1"/>
  <c r="L118" i="1" s="1"/>
  <c r="I117" i="1"/>
  <c r="K117" i="1" s="1"/>
  <c r="L117" i="1" s="1"/>
  <c r="I116" i="1"/>
  <c r="K116" i="1" s="1"/>
  <c r="L116" i="1" s="1"/>
  <c r="I115" i="1"/>
  <c r="K115" i="1" s="1"/>
  <c r="L115" i="1" s="1"/>
  <c r="I114" i="1"/>
  <c r="K114" i="1" s="1"/>
  <c r="L114" i="1" s="1"/>
  <c r="I113" i="1"/>
  <c r="K113" i="1" s="1"/>
  <c r="L113" i="1" s="1"/>
  <c r="I112" i="1"/>
  <c r="K112" i="1" s="1"/>
  <c r="L112" i="1" s="1"/>
  <c r="I111" i="1"/>
  <c r="K111" i="1" s="1"/>
  <c r="L111" i="1" s="1"/>
  <c r="I110" i="1"/>
  <c r="K110" i="1" s="1"/>
  <c r="L110" i="1" s="1"/>
  <c r="I109" i="1"/>
  <c r="K109" i="1" s="1"/>
  <c r="L109" i="1" s="1"/>
  <c r="I108" i="1"/>
  <c r="K108" i="1" s="1"/>
  <c r="L108" i="1" s="1"/>
  <c r="I107" i="1"/>
  <c r="K107" i="1" s="1"/>
  <c r="L107" i="1" s="1"/>
  <c r="I106" i="1"/>
  <c r="K106" i="1" s="1"/>
  <c r="L106" i="1" s="1"/>
  <c r="I105" i="1"/>
  <c r="K105" i="1" s="1"/>
  <c r="L105" i="1" s="1"/>
  <c r="I104" i="1"/>
  <c r="K104" i="1" s="1"/>
  <c r="L104" i="1" s="1"/>
  <c r="I103" i="1"/>
  <c r="K103" i="1" s="1"/>
  <c r="L103" i="1" s="1"/>
  <c r="I102" i="1"/>
  <c r="K102" i="1" s="1"/>
  <c r="L102" i="1" s="1"/>
  <c r="I101" i="1"/>
  <c r="K101" i="1" s="1"/>
  <c r="L101" i="1" s="1"/>
  <c r="I100" i="1"/>
  <c r="K100" i="1" s="1"/>
  <c r="L100" i="1" s="1"/>
  <c r="I99" i="1"/>
  <c r="K99" i="1" s="1"/>
  <c r="L99" i="1" s="1"/>
  <c r="I98" i="1"/>
  <c r="K98" i="1" s="1"/>
  <c r="L98" i="1" s="1"/>
  <c r="I97" i="1"/>
  <c r="K97" i="1" s="1"/>
  <c r="L97" i="1" s="1"/>
  <c r="I96" i="1"/>
  <c r="K96" i="1" s="1"/>
  <c r="L96" i="1" s="1"/>
  <c r="I95" i="1"/>
  <c r="K95" i="1" s="1"/>
  <c r="L95" i="1" s="1"/>
  <c r="I94" i="1"/>
  <c r="K94" i="1" s="1"/>
  <c r="L94" i="1" s="1"/>
  <c r="I93" i="1"/>
  <c r="K93" i="1" s="1"/>
  <c r="L93" i="1" s="1"/>
  <c r="I92" i="1"/>
  <c r="K92" i="1" s="1"/>
  <c r="L92" i="1" s="1"/>
  <c r="I91" i="1"/>
  <c r="K91" i="1" s="1"/>
  <c r="L91" i="1" s="1"/>
  <c r="I90" i="1"/>
  <c r="K90" i="1" s="1"/>
  <c r="L90" i="1" s="1"/>
  <c r="I89" i="1"/>
  <c r="K89" i="1" s="1"/>
  <c r="L89" i="1" s="1"/>
  <c r="I88" i="1"/>
  <c r="K88" i="1" s="1"/>
  <c r="L88" i="1" s="1"/>
  <c r="I87" i="1"/>
  <c r="K87" i="1" s="1"/>
  <c r="L87" i="1" s="1"/>
  <c r="I86" i="1"/>
  <c r="K86" i="1" s="1"/>
  <c r="L86" i="1" s="1"/>
  <c r="I85" i="1"/>
  <c r="K85" i="1" s="1"/>
  <c r="L85" i="1" s="1"/>
  <c r="I84" i="1"/>
  <c r="K84" i="1" s="1"/>
  <c r="L84" i="1" s="1"/>
  <c r="I83" i="1"/>
  <c r="K83" i="1" s="1"/>
  <c r="L83" i="1" s="1"/>
  <c r="I82" i="1"/>
  <c r="K82" i="1" s="1"/>
  <c r="L82" i="1" s="1"/>
  <c r="I81" i="1"/>
  <c r="K81" i="1" s="1"/>
  <c r="L81" i="1" s="1"/>
  <c r="I80" i="1"/>
  <c r="K80" i="1" s="1"/>
  <c r="L80" i="1" s="1"/>
  <c r="I79" i="1"/>
  <c r="K79" i="1" s="1"/>
  <c r="L79" i="1" s="1"/>
  <c r="I78" i="1"/>
  <c r="K78" i="1" s="1"/>
  <c r="L78" i="1" s="1"/>
  <c r="I77" i="1"/>
  <c r="K77" i="1" s="1"/>
  <c r="L77" i="1" s="1"/>
  <c r="I76" i="1"/>
  <c r="K76" i="1" s="1"/>
  <c r="L76" i="1" s="1"/>
  <c r="I75" i="1"/>
  <c r="K75" i="1" s="1"/>
  <c r="L75" i="1" s="1"/>
  <c r="I74" i="1"/>
  <c r="K74" i="1" s="1"/>
  <c r="L74" i="1" s="1"/>
  <c r="I73" i="1"/>
  <c r="K73" i="1" s="1"/>
  <c r="L73" i="1" s="1"/>
  <c r="I72" i="1"/>
  <c r="K72" i="1" s="1"/>
  <c r="L72" i="1" s="1"/>
  <c r="I71" i="1"/>
  <c r="K71" i="1" s="1"/>
  <c r="L71" i="1" s="1"/>
  <c r="I70" i="1"/>
  <c r="K70" i="1" s="1"/>
  <c r="L70" i="1" s="1"/>
  <c r="I69" i="1"/>
  <c r="K69" i="1" s="1"/>
  <c r="L69" i="1" s="1"/>
  <c r="I68" i="1"/>
  <c r="K68" i="1" s="1"/>
  <c r="L68" i="1" s="1"/>
  <c r="I67" i="1"/>
  <c r="K67" i="1" s="1"/>
  <c r="L67" i="1" s="1"/>
  <c r="I66" i="1"/>
  <c r="K66" i="1" s="1"/>
  <c r="L66" i="1" s="1"/>
  <c r="I65" i="1"/>
  <c r="K65" i="1" s="1"/>
  <c r="L65" i="1" s="1"/>
  <c r="I64" i="1"/>
  <c r="K64" i="1" s="1"/>
  <c r="L64" i="1" s="1"/>
  <c r="I63" i="1"/>
  <c r="K63" i="1" s="1"/>
  <c r="L63" i="1" s="1"/>
  <c r="I62" i="1"/>
  <c r="K62" i="1" s="1"/>
  <c r="L62" i="1" s="1"/>
  <c r="I61" i="1"/>
  <c r="K61" i="1" s="1"/>
  <c r="L61" i="1" s="1"/>
  <c r="I60" i="1"/>
  <c r="K60" i="1" s="1"/>
  <c r="L60" i="1" s="1"/>
  <c r="I59" i="1"/>
  <c r="K59" i="1" s="1"/>
  <c r="L59" i="1" s="1"/>
  <c r="I58" i="1"/>
  <c r="K58" i="1" s="1"/>
  <c r="L58" i="1" s="1"/>
  <c r="I57" i="1"/>
  <c r="K57" i="1" s="1"/>
  <c r="L57" i="1" s="1"/>
  <c r="I56" i="1"/>
  <c r="K56" i="1" s="1"/>
  <c r="L56" i="1" s="1"/>
  <c r="I55" i="1"/>
  <c r="K55" i="1" s="1"/>
  <c r="L55" i="1" s="1"/>
  <c r="I54" i="1"/>
  <c r="K54" i="1" s="1"/>
  <c r="L54" i="1" s="1"/>
  <c r="I53" i="1"/>
  <c r="K53" i="1" s="1"/>
  <c r="L53" i="1" s="1"/>
  <c r="I52" i="1"/>
  <c r="K52" i="1" s="1"/>
  <c r="L52" i="1" s="1"/>
  <c r="I51" i="1"/>
  <c r="K51" i="1" s="1"/>
  <c r="L51" i="1" s="1"/>
  <c r="I50" i="1"/>
  <c r="K50" i="1" s="1"/>
  <c r="L50" i="1" s="1"/>
  <c r="I49" i="1"/>
  <c r="K49" i="1" s="1"/>
  <c r="L49" i="1" s="1"/>
  <c r="I48" i="1"/>
  <c r="K48" i="1" s="1"/>
  <c r="L48" i="1" s="1"/>
  <c r="I47" i="1"/>
  <c r="K47" i="1" s="1"/>
  <c r="L47" i="1" s="1"/>
  <c r="I46" i="1"/>
  <c r="K46" i="1" s="1"/>
  <c r="L46" i="1" s="1"/>
  <c r="I45" i="1"/>
  <c r="K45" i="1" s="1"/>
  <c r="L45" i="1" s="1"/>
  <c r="I44" i="1"/>
  <c r="K44" i="1" s="1"/>
  <c r="L44" i="1" s="1"/>
  <c r="I43" i="1"/>
  <c r="K43" i="1" s="1"/>
  <c r="L43" i="1" s="1"/>
  <c r="I42" i="1"/>
  <c r="K42" i="1" s="1"/>
  <c r="L42" i="1" s="1"/>
  <c r="I41" i="1"/>
  <c r="K41" i="1" s="1"/>
  <c r="L41" i="1" s="1"/>
  <c r="I40" i="1"/>
  <c r="K40" i="1" s="1"/>
  <c r="L40" i="1" s="1"/>
  <c r="I39" i="1"/>
  <c r="K39" i="1" s="1"/>
  <c r="L39" i="1" s="1"/>
  <c r="I38" i="1"/>
  <c r="K38" i="1" s="1"/>
  <c r="L38" i="1" s="1"/>
  <c r="I37" i="1"/>
  <c r="K37" i="1" s="1"/>
  <c r="L37" i="1" s="1"/>
  <c r="I36" i="1"/>
  <c r="K36" i="1" s="1"/>
  <c r="L36" i="1" s="1"/>
  <c r="I35" i="1"/>
  <c r="K35" i="1" s="1"/>
  <c r="L35" i="1" s="1"/>
  <c r="I34" i="1"/>
  <c r="K34" i="1" s="1"/>
  <c r="L34" i="1" s="1"/>
  <c r="I33" i="1"/>
  <c r="K33" i="1" s="1"/>
  <c r="L33" i="1" s="1"/>
  <c r="I32" i="1"/>
  <c r="K32" i="1" s="1"/>
  <c r="L32" i="1" s="1"/>
  <c r="I31" i="1"/>
  <c r="K31" i="1" s="1"/>
  <c r="L31" i="1" s="1"/>
  <c r="I30" i="1"/>
  <c r="K30" i="1" s="1"/>
  <c r="L30" i="1" s="1"/>
  <c r="I29" i="1"/>
  <c r="K29" i="1" s="1"/>
  <c r="L29" i="1" s="1"/>
  <c r="I28" i="1"/>
  <c r="K28" i="1" s="1"/>
  <c r="L28" i="1" s="1"/>
  <c r="I27" i="1"/>
  <c r="K27" i="1" s="1"/>
  <c r="L27" i="1" s="1"/>
  <c r="I26" i="1"/>
  <c r="K26" i="1" s="1"/>
  <c r="L26" i="1" s="1"/>
  <c r="I25" i="1"/>
  <c r="K25" i="1" s="1"/>
  <c r="L25" i="1" s="1"/>
  <c r="I24" i="1"/>
  <c r="K24" i="1" s="1"/>
  <c r="L24" i="1" s="1"/>
  <c r="I23" i="1"/>
  <c r="K23" i="1" s="1"/>
  <c r="L23" i="1" s="1"/>
  <c r="I22" i="1"/>
  <c r="K22" i="1" s="1"/>
  <c r="L22" i="1" s="1"/>
  <c r="I21" i="1"/>
  <c r="K21" i="1" s="1"/>
  <c r="L21" i="1" s="1"/>
  <c r="I20" i="1"/>
  <c r="K20" i="1" s="1"/>
  <c r="L20" i="1" s="1"/>
  <c r="I19" i="1"/>
  <c r="K19" i="1" s="1"/>
  <c r="L19" i="1" s="1"/>
  <c r="I18" i="1"/>
  <c r="K18" i="1" s="1"/>
  <c r="L18" i="1" s="1"/>
  <c r="I17" i="1"/>
  <c r="K17" i="1" s="1"/>
  <c r="L17" i="1" s="1"/>
  <c r="I16" i="1"/>
  <c r="K16" i="1" s="1"/>
  <c r="L16" i="1" s="1"/>
  <c r="I15" i="1"/>
  <c r="K15" i="1" s="1"/>
  <c r="L15" i="1" s="1"/>
  <c r="I14" i="1"/>
  <c r="K14" i="1" s="1"/>
  <c r="L14" i="1" s="1"/>
  <c r="I13" i="1"/>
  <c r="K13" i="1" s="1"/>
  <c r="L13" i="1" s="1"/>
  <c r="I12" i="1"/>
  <c r="K12" i="1" s="1"/>
  <c r="L12" i="1" s="1"/>
  <c r="I11" i="1"/>
  <c r="K11" i="1" s="1"/>
  <c r="L11" i="1" s="1"/>
  <c r="I10" i="1"/>
  <c r="K10" i="1" s="1"/>
  <c r="L10" i="1" s="1"/>
  <c r="I9" i="1"/>
  <c r="K9" i="1" s="1"/>
  <c r="L9" i="1" s="1"/>
  <c r="I8" i="1"/>
  <c r="K8" i="1" s="1"/>
  <c r="L8" i="1" s="1"/>
  <c r="I7" i="1"/>
  <c r="K7" i="1" s="1"/>
  <c r="L7" i="1" s="1"/>
  <c r="I6" i="1"/>
  <c r="K6" i="1" s="1"/>
  <c r="L6" i="1" s="1"/>
  <c r="I5" i="1"/>
  <c r="K5" i="1" s="1"/>
  <c r="L5" i="1" s="1"/>
  <c r="I4" i="1"/>
  <c r="K4" i="1" s="1"/>
  <c r="L4" i="1" s="1"/>
  <c r="I3" i="1"/>
  <c r="K3" i="1" s="1"/>
  <c r="L3" i="1" s="1"/>
  <c r="I2" i="1"/>
  <c r="K2" i="1" s="1"/>
  <c r="L2" i="1" s="1"/>
</calcChain>
</file>

<file path=xl/sharedStrings.xml><?xml version="1.0" encoding="utf-8"?>
<sst xmlns="http://schemas.openxmlformats.org/spreadsheetml/2006/main" count="475" uniqueCount="315">
  <si>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</si>
  <si>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</si>
  <si>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</si>
  <si>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</si>
  <si>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</si>
  <si>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</si>
  <si>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</si>
  <si>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</si>
  <si>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</si>
  <si>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</si>
  <si>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</si>
  <si>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</si>
  <si>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</si>
  <si>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</si>
  <si>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</si>
  <si>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</si>
  <si>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</si>
  <si>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</si>
  <si>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</si>
  <si>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</si>
  <si>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</si>
  <si>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</si>
  <si>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</si>
  <si>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</si>
  <si>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</si>
  <si>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</si>
  <si>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</si>
  <si>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</si>
  <si>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</si>
  <si>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</si>
  <si>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</si>
  <si>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</si>
  <si>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</si>
  <si>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</si>
  <si>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</si>
  <si>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</si>
  <si>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</si>
  <si>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</si>
  <si>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</si>
  <si>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</si>
  <si>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</si>
  <si>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</si>
  <si>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</si>
  <si>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</si>
  <si>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</si>
  <si>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</si>
  <si>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</si>
  <si>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</si>
  <si>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</si>
  <si>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</si>
  <si>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</si>
  <si>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</si>
  <si>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</si>
  <si>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</si>
  <si>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</si>
  <si>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</si>
  <si>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</si>
  <si>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</si>
  <si>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</si>
  <si>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</si>
  <si>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</si>
  <si>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</si>
  <si>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</si>
  <si>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</si>
  <si>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</si>
  <si>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</si>
  <si>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</si>
  <si>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</si>
  <si>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</si>
  <si>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</si>
  <si>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</si>
  <si>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</si>
  <si>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</si>
  <si>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</si>
  <si>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</si>
  <si>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</si>
  <si>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</si>
  <si>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</si>
  <si>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</si>
  <si>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</si>
  <si>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</si>
  <si>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</si>
  <si>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</si>
  <si>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</si>
  <si>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</si>
  <si>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</si>
  <si>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</si>
  <si>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</si>
  <si>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</si>
  <si>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</si>
  <si>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</si>
  <si>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</si>
  <si>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</si>
  <si>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</si>
  <si>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</si>
  <si>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</si>
  <si>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</si>
  <si>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</si>
  <si>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</si>
  <si>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</si>
  <si>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</si>
  <si>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</si>
  <si>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</si>
  <si>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</si>
  <si>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</si>
  <si>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</si>
  <si>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</si>
  <si>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 xml:space="preserve">Rekha Jain </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</si>
  <si>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</si>
  <si>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</si>
  <si>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</si>
  <si>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</si>
  <si>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</si>
  <si>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</si>
  <si>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</si>
  <si>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</si>
  <si>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</si>
  <si>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</si>
  <si>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</si>
  <si>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</si>
  <si>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</si>
  <si>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</si>
  <si>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</si>
  <si>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</si>
  <si>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</si>
  <si>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</si>
  <si>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</si>
  <si>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</si>
  <si>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</si>
  <si>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</si>
  <si>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</si>
  <si>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</si>
  <si>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</si>
  <si>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</si>
  <si>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</si>
  <si>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</si>
  <si>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</si>
  <si>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</si>
  <si>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</si>
  <si>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</si>
  <si>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</si>
  <si>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</si>
  <si>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</si>
  <si>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</si>
  <si>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</si>
  <si>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</si>
  <si>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</si>
  <si>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</si>
  <si>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</si>
  <si>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</si>
  <si>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</si>
  <si>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</si>
  <si>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</si>
  <si>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</si>
  <si>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</si>
  <si>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</si>
  <si>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</si>
  <si>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</si>
  <si>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</si>
  <si>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</si>
  <si>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</si>
  <si>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</si>
  <si>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</si>
  <si>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</si>
  <si>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</si>
  <si>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</si>
  <si>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</si>
  <si>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</si>
  <si>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</si>
  <si>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</si>
  <si>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</si>
  <si>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</si>
  <si>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</si>
  <si>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</si>
  <si>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</si>
  <si>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</si>
  <si>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</si>
  <si>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</si>
  <si>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</si>
  <si>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</si>
  <si>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</si>
  <si>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</si>
  <si>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</si>
  <si>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</si>
  <si>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</si>
  <si>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</si>
  <si>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</si>
  <si>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</si>
  <si>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</si>
  <si>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</si>
  <si>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</si>
  <si>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</si>
  <si>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</si>
  <si>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</si>
  <si>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</si>
  <si>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</si>
  <si>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</si>
  <si>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</si>
  <si>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</si>
  <si>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</si>
  <si>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</si>
  <si>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</si>
  <si>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</si>
  <si>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</si>
  <si>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</si>
  <si>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</si>
  <si>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</si>
  <si>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</si>
  <si>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</si>
  <si>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</si>
  <si>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</si>
  <si>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</si>
  <si>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</si>
  <si>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</si>
  <si>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</si>
  <si>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</si>
  <si>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</si>
  <si>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</si>
  <si>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</si>
  <si>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</si>
  <si>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</si>
  <si>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</si>
  <si>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</si>
  <si>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</si>
  <si>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</si>
  <si>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</si>
  <si>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</si>
  <si>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</si>
  <si>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</si>
  <si>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</si>
  <si>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</si>
  <si>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</si>
  <si>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</si>
  <si>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</si>
  <si>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</si>
  <si>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</si>
  <si>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</si>
  <si>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</si>
  <si>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</si>
  <si>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</si>
  <si>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</si>
  <si>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</si>
  <si>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</si>
  <si>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</si>
  <si>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</si>
  <si>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</si>
  <si>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</si>
  <si>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</si>
  <si>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</si>
  <si>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</si>
  <si>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</si>
  <si>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</si>
  <si>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</si>
  <si>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</si>
  <si>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</si>
  <si>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</si>
  <si>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</si>
  <si>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</si>
  <si>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</si>
  <si>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</si>
  <si>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</si>
  <si>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</si>
  <si>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</si>
  <si>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</si>
  <si>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</si>
  <si>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</si>
  <si>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</si>
  <si>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</si>
  <si>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</si>
  <si>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</si>
  <si>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</si>
  <si>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</si>
  <si>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</si>
  <si>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</si>
  <si>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</si>
  <si>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</si>
  <si>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</si>
  <si>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</si>
  <si>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</si>
  <si>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</si>
  <si>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</si>
  <si>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</si>
  <si>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</si>
  <si>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</si>
  <si>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</si>
  <si>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</si>
  <si>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</si>
  <si>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</si>
  <si>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</si>
  <si>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</si>
  <si>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</si>
  <si>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</si>
  <si>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</si>
  <si>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</si>
  <si>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</si>
  <si>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</si>
  <si>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</si>
  <si>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</si>
  <si>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</si>
  <si>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</si>
  <si>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</si>
  <si>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</si>
  <si>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Row Labels</t>
  </si>
  <si>
    <t>Grand Total</t>
  </si>
  <si>
    <t xml:space="preserve"> Total Sales</t>
  </si>
  <si>
    <t>1)Top 5 Sales executives according to Total sales</t>
  </si>
  <si>
    <t>2.Bottom 5 Sales Executives by Total Sales</t>
  </si>
  <si>
    <t>3.Top 5 executives by Target hit %</t>
  </si>
  <si>
    <t>Sum of Target Hit %</t>
  </si>
  <si>
    <t>4.Bottom 5 executives away from taget %</t>
  </si>
  <si>
    <t>Sum of Away From Target %</t>
  </si>
  <si>
    <t>Count of Emp Code</t>
  </si>
  <si>
    <t>Average of Target Hit %</t>
  </si>
  <si>
    <t>🎯</t>
  </si>
  <si>
    <t>ūu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</si>
</sst>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Aptos Narrow"/>
      <family val="2"/>
      <scheme val="minor"/>
    </font>
    <font>
      <sz val="11"/>
      <color theme="1"/>
      <name val="Aptos Narrow"/>
      <family val="2"/>
      <scheme val="minor"/>
    </font>
    <font>
      <b/>
      <sz val="10"/>
      <color rgb="FF000000"/>
      <name val="Aptos Narrow"/>
      <family val="2"/>
      <scheme val="minor"/>
    </font>
    <font>
      <sz val="10"/>
      <color theme="1"/>
      <name val="Aptos Narrow"/>
      <family val="2"/>
      <scheme val="minor"/>
    </font>
    <font>
      <sz val="10"/>
      <color rgb="FF000000"/>
      <name val="Aptos Narrow"/>
      <family val="2"/>
      <scheme val="minor"/>
    </font>
    <font>
      <b/>
      <sz val="26"/>
      <color theme="1"/>
      <name val="Aptos Narrow"/>
      <family val="2"/>
      <scheme val="minor"/>
    </font>
    <font>
      <b/>
      <sz val="26"/>
      <color theme="3" tint="0.249977111117893"/>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s>
  <cellStyleXfs count="2">
    <xf numFmtId="0" fontId="0" fillId="0" borderId="0"/>
    <xf numFmtId="9" fontId="1" fillId="0" borderId="0" applyFont="0" applyFill="0" applyBorder="0" applyAlignment="0" applyProtection="0"/>
  </cellStyleXfs>
  <cellXfs count="26">
    <xf numFmtId="0" fontId="0" fillId="0" borderId="0" xfId="0"/>
    <xf numFmtId="0" fontId="0" fillId="3" borderId="1" xfId="0" applyFill="1" applyBorder="1"/>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10" fontId="4" fillId="3" borderId="1" xfId="1" applyNumberFormat="1" applyFont="1" applyFill="1" applyBorder="1" applyAlignment="1">
      <alignment horizontal="center" vertical="center"/>
    </xf>
    <xf numFmtId="0" fontId="0" fillId="3" borderId="1" xfId="0" applyFill="1" applyBorder="1" applyAlignment="1">
      <alignment horizontal="center"/>
    </xf>
    <xf numFmtId="14" fontId="3" fillId="3" borderId="2" xfId="0" applyNumberFormat="1" applyFont="1" applyFill="1" applyBorder="1" applyAlignment="1">
      <alignment horizontal="center" vertical="center"/>
    </xf>
    <xf numFmtId="10" fontId="4" fillId="3" borderId="3" xfId="0" applyNumberFormat="1"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14" fontId="3" fillId="3" borderId="7" xfId="0" applyNumberFormat="1" applyFont="1" applyFill="1" applyBorder="1" applyAlignment="1">
      <alignment horizontal="center" vertical="center"/>
    </xf>
    <xf numFmtId="0" fontId="0" fillId="3" borderId="8" xfId="0" applyFill="1" applyBorder="1"/>
    <xf numFmtId="0" fontId="3" fillId="3" borderId="8" xfId="0" applyFont="1" applyFill="1" applyBorder="1" applyAlignment="1">
      <alignment horizontal="center" vertical="center"/>
    </xf>
    <xf numFmtId="0" fontId="4" fillId="3" borderId="8" xfId="0" applyFont="1" applyFill="1" applyBorder="1" applyAlignment="1">
      <alignment horizontal="center" vertical="center"/>
    </xf>
    <xf numFmtId="10" fontId="4" fillId="3" borderId="8" xfId="1" applyNumberFormat="1" applyFont="1" applyFill="1" applyBorder="1" applyAlignment="1">
      <alignment horizontal="center" vertical="center"/>
    </xf>
    <xf numFmtId="10" fontId="4" fillId="3" borderId="9"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10" fontId="0" fillId="0" borderId="0" xfId="0" applyNumberFormat="1"/>
    <xf numFmtId="0" fontId="0" fillId="0" borderId="10" xfId="0" applyBorder="1"/>
    <xf numFmtId="0" fontId="0" fillId="0" borderId="0" xfId="0" applyAlignment="1">
      <alignment vertical="center"/>
    </xf>
    <xf numFmtId="0" fontId="6" fillId="0" borderId="0" xfId="0" applyFont="1" applyAlignment="1">
      <alignment horizontal="left" vertical="top"/>
    </xf>
    <xf numFmtId="0" fontId="5" fillId="0" borderId="0" xfId="0" applyFont="1" applyAlignment="1">
      <alignment horizontal="left" vertical="top"/>
    </xf>
    <xf numFmtId="0" fontId="0" fillId="0" borderId="0" xfId="0" applyAlignment="1">
      <alignment horizontal="center"/>
    </xf>
    <xf numFmtId="0" fontId="0" fillId="0" borderId="0" xfId="0" applyNumberFormat="1"/>
  </cellXfs>
  <cellStyles count="2">
    <cellStyle name="Normal" xfId="0" builtinId="0"/>
    <cellStyle name="Percent" xfId="1" builtinId="5"/>
  </cellStyles>
  <dxfs count="17">
    <dxf>
      <font>
        <b val="0"/>
        <i val="0"/>
        <strike val="0"/>
        <condense val="0"/>
        <extend val="0"/>
        <outline val="0"/>
        <shadow val="0"/>
        <u val="none"/>
        <vertAlign val="baseline"/>
        <sz val="10"/>
        <color rgb="FF000000"/>
        <name val="Aptos Narrow"/>
        <family val="2"/>
        <scheme val="minor"/>
      </font>
      <numFmt numFmtId="14" formatCode="0.00%"/>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rgb="FF000000"/>
        <name val="Aptos Narrow"/>
        <family val="2"/>
        <scheme val="minor"/>
      </font>
      <numFmt numFmtId="14" formatCode="0.00%"/>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9" formatCode="dd/mm/yyyy"/>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rgb="FF000000"/>
        <name val="Aptos Narrow"/>
        <family val="2"/>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bgColor theme="4"/>
        </patternFill>
      </fill>
    </dxf>
  </dxfs>
  <tableStyles count="3" defaultTableStyle="TableStyleMedium2" defaultPivotStyle="PivotStyleLight16">
    <tableStyle name="Slicer Style 1" pivot="0" table="0" count="1" xr9:uid="{8FB3732C-66AE-4BB4-93A9-9177E3A10DE2}">
      <tableStyleElement type="wholeTable" dxfId="16"/>
    </tableStyle>
    <tableStyle name="Slicer Style 2" pivot="0" table="0" count="4" xr9:uid="{1B16BBC5-7FC8-49E0-804E-1C18BCE8EB2D}"/>
    <tableStyle name="Slicer Style 3" pivot="0" table="0" count="1" xr9:uid="{AF6ED04C-C0A5-4791-A10B-6096973C8C7D}"/>
  </tableStyles>
  <colors>
    <mruColors>
      <color rgb="FF1F4E80"/>
      <color rgb="FF1F4E79"/>
      <color rgb="FFCE4E4E"/>
    </mruColors>
  </colors>
  <extLst>
    <ext xmlns:x14="http://schemas.microsoft.com/office/spreadsheetml/2009/9/main" uri="{46F421CA-312F-682f-3DD2-61675219B42D}">
      <x14:dxfs count="5">
        <dxf>
          <fill>
            <patternFill>
              <bgColor theme="9"/>
            </patternFill>
          </fill>
        </dxf>
        <dxf>
          <fill>
            <patternFill>
              <bgColor theme="3" tint="9.9948118533890809E-2"/>
            </patternFill>
          </fill>
        </dxf>
        <dxf>
          <fill>
            <patternFill>
              <bgColor theme="7" tint="0.39994506668294322"/>
            </patternFill>
          </fill>
        </dxf>
        <dxf>
          <fill>
            <patternFill>
              <bgColor theme="3" tint="0.24994659260841701"/>
            </patternFill>
          </fill>
        </dxf>
        <dxf>
          <fill>
            <patternFill>
              <bgColor theme="5"/>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4"/>
            <x14:slicerStyleElement type="selectedItemWithData" dxfId="3"/>
            <x14:slicerStyleElement type="hoveredSelectedItemWithData" dxfId="2"/>
            <x14:slicerStyleElement type="hoveredSelectedItemWithNoData" dxfId="1"/>
          </x14:slicerStyleElements>
        </x14:slicerStyle>
        <x14:slicerStyle name="Slicer Style 3">
          <x14:slicerStyleElements>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[Sales_DashBoard_SE_Project.xlsx]pivots!Top5_SE</c:name>
    <c:fmtId val="6"/>
  </c:pivotSource>
  <c:chart>
    <c:title>
      <c:layout>
        <c:manualLayout>
          <c:xMode val="edge"/>
          <c:yMode val="edge"/>
          <c:x val="0.83955065342680724"/>
          <c:y val="4.6296296296296294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87278180857717"/>
          <c:y val="0.18552228637633231"/>
          <c:w val="0.83036409742049044"/>
          <c:h val="0.71898244721790849"/>
        </c:manualLayout>
      </c:layout>
      <c:barChart>
        <c:barDir val="bar"/>
        <c:grouping val="clustered"/>
        <c:varyColors val="0"/>
        <c:ser>
          <c:idx val="0"/>
          <c:order val="0"/>
          <c:tx>
            <c:strRef>
              <c:f>pivots!$B$6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pivots!$A$7:$A$12</c:f>
              <c:strCache>
                <c:ptCount val="5"/>
                <c:pt idx="0">
                  <c:v>Anikuttan</c:v>
                </c:pt>
                <c:pt idx="1">
                  <c:v>Ritu Bhatnagar</c:v>
                </c:pt>
                <c:pt idx="2">
                  <c:v>Rashid</c:v>
                </c:pt>
                <c:pt idx="3">
                  <c:v>Bhagwat Singh</c:v>
                </c:pt>
                <c:pt idx="4">
                  <c:v>ManjuTiwari Lab</c:v>
                </c:pt>
              </c:strCache>
            </c:strRef>
          </c:cat>
          <c:val>
            <c:numRef>
              <c:f>pivots!$B$7:$B$12</c:f>
              <c:numCache>
                <c:formatCode>General</c:formatCode>
                <c:ptCount val="5"/>
                <c:pt idx="0">
                  <c:v>382</c:v>
                </c:pt>
                <c:pt idx="1">
                  <c:v>371</c:v>
                </c:pt>
                <c:pt idx="2">
                  <c:v>340</c:v>
                </c:pt>
                <c:pt idx="3">
                  <c:v>327</c:v>
                </c:pt>
                <c:pt idx="4">
                  <c:v>318</c:v>
                </c:pt>
              </c:numCache>
            </c:numRef>
          </c:val>
          <c:extLst>
            <c:ext xmlns:c16="http://schemas.microsoft.com/office/drawing/2014/chart" uri="{C3380CC4-5D6E-409C-BE32-E72D297353CC}">
              <c16:uniqueId val="{00000000-B721-4415-8D7C-E93F874DB527}"/>
            </c:ext>
          </c:extLst>
        </c:ser>
        <c:dLbls>
          <c:dLblPos val="inEnd"/>
          <c:showLegendKey val="0"/>
          <c:showVal val="1"/>
          <c:showCatName val="0"/>
          <c:showSerName val="0"/>
          <c:showPercent val="0"/>
          <c:showBubbleSize val="0"/>
        </c:dLbls>
        <c:gapWidth val="65"/>
        <c:axId val="1516527679"/>
        <c:axId val="1516528159"/>
      </c:barChart>
      <c:catAx>
        <c:axId val="151652767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16528159"/>
        <c:crosses val="autoZero"/>
        <c:auto val="1"/>
        <c:lblAlgn val="ctr"/>
        <c:lblOffset val="100"/>
        <c:noMultiLvlLbl val="0"/>
      </c:catAx>
      <c:valAx>
        <c:axId val="151652815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16527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[Sales_DashBoard_SE_Project.xlsx]pivots!Top5_SE_TH</c:name>
    <c:fmtId val="3"/>
  </c:pivotSource>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004349620638704E-2"/>
          <c:y val="0.20500606962499671"/>
          <c:w val="0.89343221993086019"/>
          <c:h val="0.70120045198902936"/>
        </c:manualLayout>
      </c:layout>
      <c:barChart>
        <c:barDir val="col"/>
        <c:grouping val="clustered"/>
        <c:varyColors val="0"/>
        <c:ser>
          <c:idx val="0"/>
          <c:order val="0"/>
          <c:tx>
            <c:strRef>
              <c:f>pivots!$S$6</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pivots!$R$7:$R$12</c:f>
              <c:strCache>
                <c:ptCount val="5"/>
                <c:pt idx="0">
                  <c:v>Anikuttan</c:v>
                </c:pt>
                <c:pt idx="1">
                  <c:v>Bhagwat Singh</c:v>
                </c:pt>
                <c:pt idx="2">
                  <c:v>ManjuTiwari Lab</c:v>
                </c:pt>
                <c:pt idx="3">
                  <c:v>Rashid</c:v>
                </c:pt>
                <c:pt idx="4">
                  <c:v>Ritu Bhatnagar</c:v>
                </c:pt>
              </c:strCache>
            </c:strRef>
          </c:cat>
          <c:val>
            <c:numRef>
              <c:f>pivots!$S$7:$S$12</c:f>
              <c:numCache>
                <c:formatCode>0.00%</c:formatCode>
                <c:ptCount val="5"/>
                <c:pt idx="0">
                  <c:v>0.76400000000000001</c:v>
                </c:pt>
                <c:pt idx="1">
                  <c:v>0.65400000000000003</c:v>
                </c:pt>
                <c:pt idx="2">
                  <c:v>0.63600000000000001</c:v>
                </c:pt>
                <c:pt idx="3">
                  <c:v>0.68</c:v>
                </c:pt>
                <c:pt idx="4">
                  <c:v>0.74199999999999999</c:v>
                </c:pt>
              </c:numCache>
            </c:numRef>
          </c:val>
          <c:extLst>
            <c:ext xmlns:c16="http://schemas.microsoft.com/office/drawing/2014/chart" uri="{C3380CC4-5D6E-409C-BE32-E72D297353CC}">
              <c16:uniqueId val="{00000000-AB4A-49A1-85A5-F604754B23DA}"/>
            </c:ext>
          </c:extLst>
        </c:ser>
        <c:dLbls>
          <c:dLblPos val="inEnd"/>
          <c:showLegendKey val="0"/>
          <c:showVal val="1"/>
          <c:showCatName val="0"/>
          <c:showSerName val="0"/>
          <c:showPercent val="0"/>
          <c:showBubbleSize val="0"/>
        </c:dLbls>
        <c:gapWidth val="41"/>
        <c:axId val="1590697279"/>
        <c:axId val="1590715519"/>
      </c:barChart>
      <c:catAx>
        <c:axId val="159069727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effectLst/>
                <a:latin typeface="+mn-lt"/>
                <a:ea typeface="+mn-ea"/>
                <a:cs typeface="+mn-cs"/>
              </a:defRPr>
            </a:pPr>
            <a:endParaRPr lang="en-US"/>
          </a:p>
        </c:txPr>
        <c:crossAx val="1590715519"/>
        <c:crosses val="autoZero"/>
        <c:auto val="1"/>
        <c:lblAlgn val="ctr"/>
        <c:lblOffset val="100"/>
        <c:noMultiLvlLbl val="0"/>
      </c:catAx>
      <c:valAx>
        <c:axId val="1590715519"/>
        <c:scaling>
          <c:orientation val="minMax"/>
          <c:max val="1"/>
          <c:min val="0"/>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590697279"/>
        <c:crosses val="autoZero"/>
        <c:crossBetween val="between"/>
        <c:majorUnit val="0.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8150481189851271E-2"/>
          <c:y val="0.19486111111111112"/>
          <c:w val="0.87129396325459318"/>
          <c:h val="0.72125801983085447"/>
        </c:manualLayout>
      </c:layout>
      <c:barChart>
        <c:barDir val="col"/>
        <c:grouping val="clustered"/>
        <c:varyColors val="0"/>
        <c:ser>
          <c:idx val="0"/>
          <c:order val="0"/>
          <c:spPr>
            <a:solidFill>
              <a:schemeClr val="accent1"/>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1-E951-4A32-9803-112F6FF76F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pivots!$AA$7:$AA$11</c:f>
              <c:strCache>
                <c:ptCount val="5"/>
                <c:pt idx="0">
                  <c:v>Jyoti Tulsani</c:v>
                </c:pt>
                <c:pt idx="1">
                  <c:v>Mubeen Khan</c:v>
                </c:pt>
                <c:pt idx="2">
                  <c:v>Praveen Kumar</c:v>
                </c:pt>
                <c:pt idx="3">
                  <c:v>Sanjiv Subherwal</c:v>
                </c:pt>
                <c:pt idx="4">
                  <c:v>Sushma Khandelwal</c:v>
                </c:pt>
              </c:strCache>
            </c:strRef>
          </c:cat>
          <c:val>
            <c:numRef>
              <c:f>pivots!$AB$7:$AB$11</c:f>
              <c:numCache>
                <c:formatCode>0.00%</c:formatCode>
                <c:ptCount val="5"/>
                <c:pt idx="0" formatCode="General">
                  <c:v>#N/A</c:v>
                </c:pt>
                <c:pt idx="1">
                  <c:v>#N/A</c:v>
                </c:pt>
                <c:pt idx="2" formatCode="General">
                  <c:v>0.66799999999999993</c:v>
                </c:pt>
                <c:pt idx="3" formatCode="General">
                  <c:v>#N/A</c:v>
                </c:pt>
                <c:pt idx="4" formatCode="General">
                  <c:v>#N/A</c:v>
                </c:pt>
              </c:numCache>
            </c:numRef>
          </c:val>
          <c:extLst>
            <c:ext xmlns:c16="http://schemas.microsoft.com/office/drawing/2014/chart" uri="{C3380CC4-5D6E-409C-BE32-E72D297353CC}">
              <c16:uniqueId val="{00000002-E951-4A32-9803-112F6FF76FA1}"/>
            </c:ext>
          </c:extLst>
        </c:ser>
        <c:ser>
          <c:idx val="1"/>
          <c:order val="1"/>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pivots!$AA$7:$AA$11</c:f>
              <c:strCache>
                <c:ptCount val="5"/>
                <c:pt idx="0">
                  <c:v>Jyoti Tulsani</c:v>
                </c:pt>
                <c:pt idx="1">
                  <c:v>Mubeen Khan</c:v>
                </c:pt>
                <c:pt idx="2">
                  <c:v>Praveen Kumar</c:v>
                </c:pt>
                <c:pt idx="3">
                  <c:v>Sanjiv Subherwal</c:v>
                </c:pt>
                <c:pt idx="4">
                  <c:v>Sushma Khandelwal</c:v>
                </c:pt>
              </c:strCache>
            </c:strRef>
          </c:cat>
          <c:val>
            <c:numRef>
              <c:f>pivots!$AC$7:$AC$11</c:f>
              <c:numCache>
                <c:formatCode>0.00%</c:formatCode>
                <c:ptCount val="5"/>
                <c:pt idx="0">
                  <c:v>0.54400000000000004</c:v>
                </c:pt>
                <c:pt idx="1">
                  <c:v>0.58200000000000007</c:v>
                </c:pt>
                <c:pt idx="2">
                  <c:v>#N/A</c:v>
                </c:pt>
                <c:pt idx="3">
                  <c:v>0.55400000000000005</c:v>
                </c:pt>
                <c:pt idx="4">
                  <c:v>0.57400000000000007</c:v>
                </c:pt>
              </c:numCache>
            </c:numRef>
          </c:val>
          <c:extLst>
            <c:ext xmlns:c16="http://schemas.microsoft.com/office/drawing/2014/chart" uri="{C3380CC4-5D6E-409C-BE32-E72D297353CC}">
              <c16:uniqueId val="{00000003-E951-4A32-9803-112F6FF76FA1}"/>
            </c:ext>
          </c:extLst>
        </c:ser>
        <c:dLbls>
          <c:dLblPos val="ctr"/>
          <c:showLegendKey val="0"/>
          <c:showVal val="1"/>
          <c:showCatName val="0"/>
          <c:showSerName val="0"/>
          <c:showPercent val="0"/>
          <c:showBubbleSize val="0"/>
        </c:dLbls>
        <c:gapWidth val="62"/>
        <c:overlap val="100"/>
        <c:axId val="1590727519"/>
        <c:axId val="1590723199"/>
      </c:barChart>
      <c:catAx>
        <c:axId val="159072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90723199"/>
        <c:crosses val="autoZero"/>
        <c:auto val="1"/>
        <c:lblAlgn val="ctr"/>
        <c:lblOffset val="100"/>
        <c:noMultiLvlLbl val="0"/>
      </c:catAx>
      <c:valAx>
        <c:axId val="1590723199"/>
        <c:scaling>
          <c:orientation val="minMax"/>
          <c:max val="1"/>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90727519"/>
        <c:crosses val="autoZero"/>
        <c:crossBetween val="between"/>
        <c:majorUnit val="0.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pivots!$M$7:$M$11</c:f>
              <c:strCache>
                <c:ptCount val="5"/>
                <c:pt idx="0">
                  <c:v>Jyoti Tulsani</c:v>
                </c:pt>
                <c:pt idx="1">
                  <c:v>Mubeen Khan</c:v>
                </c:pt>
                <c:pt idx="2">
                  <c:v>Praveen Kumar</c:v>
                </c:pt>
                <c:pt idx="3">
                  <c:v>Sanjiv Subherwal</c:v>
                </c:pt>
                <c:pt idx="4">
                  <c:v>Sushma Khandelwal</c:v>
                </c:pt>
              </c:strCache>
            </c:strRef>
          </c:cat>
          <c:val>
            <c:numRef>
              <c:f>pivots!$N$7:$N$11</c:f>
              <c:numCache>
                <c:formatCode>General</c:formatCode>
                <c:ptCount val="5"/>
                <c:pt idx="0">
                  <c:v>#N/A</c:v>
                </c:pt>
                <c:pt idx="1">
                  <c:v>#N/A</c:v>
                </c:pt>
                <c:pt idx="2">
                  <c:v>166</c:v>
                </c:pt>
                <c:pt idx="3">
                  <c:v>#N/A</c:v>
                </c:pt>
                <c:pt idx="4">
                  <c:v>#N/A</c:v>
                </c:pt>
              </c:numCache>
            </c:numRef>
          </c:val>
          <c:extLst>
            <c:ext xmlns:c16="http://schemas.microsoft.com/office/drawing/2014/chart" uri="{C3380CC4-5D6E-409C-BE32-E72D297353CC}">
              <c16:uniqueId val="{00000000-7BB9-49DA-80A1-95CB58CFDC88}"/>
            </c:ext>
          </c:extLst>
        </c:ser>
        <c:ser>
          <c:idx val="1"/>
          <c:order val="1"/>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pivots!$M$7:$M$11</c:f>
              <c:strCache>
                <c:ptCount val="5"/>
                <c:pt idx="0">
                  <c:v>Jyoti Tulsani</c:v>
                </c:pt>
                <c:pt idx="1">
                  <c:v>Mubeen Khan</c:v>
                </c:pt>
                <c:pt idx="2">
                  <c:v>Praveen Kumar</c:v>
                </c:pt>
                <c:pt idx="3">
                  <c:v>Sanjiv Subherwal</c:v>
                </c:pt>
                <c:pt idx="4">
                  <c:v>Sushma Khandelwal</c:v>
                </c:pt>
              </c:strCache>
            </c:strRef>
          </c:cat>
          <c:val>
            <c:numRef>
              <c:f>pivots!$O$7:$O$11</c:f>
              <c:numCache>
                <c:formatCode>General</c:formatCode>
                <c:ptCount val="5"/>
                <c:pt idx="0">
                  <c:v>228</c:v>
                </c:pt>
                <c:pt idx="1">
                  <c:v>209</c:v>
                </c:pt>
                <c:pt idx="2">
                  <c:v>#N/A</c:v>
                </c:pt>
                <c:pt idx="3">
                  <c:v>223</c:v>
                </c:pt>
                <c:pt idx="4">
                  <c:v>213</c:v>
                </c:pt>
              </c:numCache>
            </c:numRef>
          </c:val>
          <c:extLst>
            <c:ext xmlns:c16="http://schemas.microsoft.com/office/drawing/2014/chart" uri="{C3380CC4-5D6E-409C-BE32-E72D297353CC}">
              <c16:uniqueId val="{00000001-7BB9-49DA-80A1-95CB58CFDC88}"/>
            </c:ext>
          </c:extLst>
        </c:ser>
        <c:dLbls>
          <c:dLblPos val="outEnd"/>
          <c:showLegendKey val="0"/>
          <c:showVal val="1"/>
          <c:showCatName val="0"/>
          <c:showSerName val="0"/>
          <c:showPercent val="0"/>
          <c:showBubbleSize val="0"/>
        </c:dLbls>
        <c:gapWidth val="30"/>
        <c:overlap val="100"/>
        <c:axId val="1590731839"/>
        <c:axId val="1590733279"/>
      </c:barChart>
      <c:catAx>
        <c:axId val="1590731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90733279"/>
        <c:crosses val="autoZero"/>
        <c:auto val="1"/>
        <c:lblAlgn val="ctr"/>
        <c:lblOffset val="100"/>
        <c:noMultiLvlLbl val="0"/>
      </c:catAx>
      <c:valAx>
        <c:axId val="1590733279"/>
        <c:scaling>
          <c:orientation val="minMax"/>
          <c:min val="10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90731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[Sales_DashBoard_SE_Project.xlsx]pivots!Top5_SE</c:name>
    <c:fmtId val="0"/>
  </c:pivotSource>
  <c:chart>
    <c:title>
      <c:layout>
        <c:manualLayout>
          <c:xMode val="edge"/>
          <c:yMode val="edge"/>
          <c:x val="0.39753477690288708"/>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pivots!$A$7:$A$12</c:f>
              <c:strCache>
                <c:ptCount val="5"/>
                <c:pt idx="0">
                  <c:v>Anikuttan</c:v>
                </c:pt>
                <c:pt idx="1">
                  <c:v>Ritu Bhatnagar</c:v>
                </c:pt>
                <c:pt idx="2">
                  <c:v>Rashid</c:v>
                </c:pt>
                <c:pt idx="3">
                  <c:v>Bhagwat Singh</c:v>
                </c:pt>
                <c:pt idx="4">
                  <c:v>ManjuTiwari Lab</c:v>
                </c:pt>
              </c:strCache>
            </c:strRef>
          </c:cat>
          <c:val>
            <c:numRef>
              <c:f>pivots!$B$7:$B$12</c:f>
              <c:numCache>
                <c:formatCode>General</c:formatCode>
                <c:ptCount val="5"/>
                <c:pt idx="0">
                  <c:v>382</c:v>
                </c:pt>
                <c:pt idx="1">
                  <c:v>371</c:v>
                </c:pt>
                <c:pt idx="2">
                  <c:v>340</c:v>
                </c:pt>
                <c:pt idx="3">
                  <c:v>327</c:v>
                </c:pt>
                <c:pt idx="4">
                  <c:v>318</c:v>
                </c:pt>
              </c:numCache>
            </c:numRef>
          </c:val>
          <c:extLst>
            <c:ext xmlns:c16="http://schemas.microsoft.com/office/drawing/2014/chart" uri="{C3380CC4-5D6E-409C-BE32-E72D297353CC}">
              <c16:uniqueId val="{00000000-E372-4997-B39D-EAB0336355E2}"/>
            </c:ext>
          </c:extLst>
        </c:ser>
        <c:dLbls>
          <c:dLblPos val="outEnd"/>
          <c:showLegendKey val="0"/>
          <c:showVal val="1"/>
          <c:showCatName val="0"/>
          <c:showSerName val="0"/>
          <c:showPercent val="0"/>
          <c:showBubbleSize val="0"/>
        </c:dLbls>
        <c:gapWidth val="39"/>
        <c:axId val="1516527679"/>
        <c:axId val="1516528159"/>
      </c:barChart>
      <c:catAx>
        <c:axId val="15165276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528159"/>
        <c:crosses val="autoZero"/>
        <c:auto val="1"/>
        <c:lblAlgn val="ctr"/>
        <c:lblOffset val="100"/>
        <c:noMultiLvlLbl val="0"/>
      </c:catAx>
      <c:valAx>
        <c:axId val="1516528159"/>
        <c:scaling>
          <c:orientation val="minMax"/>
        </c:scaling>
        <c:delete val="0"/>
        <c:axPos val="b"/>
        <c:numFmt formatCode="General" sourceLinked="1"/>
        <c:majorTickMark val="out"/>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527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[Sales_DashBoard_SE_Project.xlsx]pivots!Top5_SE_TH</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pivots!$S$6</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pivots!$R$7:$R$12</c:f>
              <c:strCache>
                <c:ptCount val="5"/>
                <c:pt idx="0">
                  <c:v>Anikuttan</c:v>
                </c:pt>
                <c:pt idx="1">
                  <c:v>Bhagwat Singh</c:v>
                </c:pt>
                <c:pt idx="2">
                  <c:v>ManjuTiwari Lab</c:v>
                </c:pt>
                <c:pt idx="3">
                  <c:v>Rashid</c:v>
                </c:pt>
                <c:pt idx="4">
                  <c:v>Ritu Bhatnagar</c:v>
                </c:pt>
              </c:strCache>
            </c:strRef>
          </c:cat>
          <c:val>
            <c:numRef>
              <c:f>pivots!$S$7:$S$12</c:f>
              <c:numCache>
                <c:formatCode>0.00%</c:formatCode>
                <c:ptCount val="5"/>
                <c:pt idx="0">
                  <c:v>0.76400000000000001</c:v>
                </c:pt>
                <c:pt idx="1">
                  <c:v>0.65400000000000003</c:v>
                </c:pt>
                <c:pt idx="2">
                  <c:v>0.63600000000000001</c:v>
                </c:pt>
                <c:pt idx="3">
                  <c:v>0.68</c:v>
                </c:pt>
                <c:pt idx="4">
                  <c:v>0.74199999999999999</c:v>
                </c:pt>
              </c:numCache>
            </c:numRef>
          </c:val>
          <c:extLst>
            <c:ext xmlns:c16="http://schemas.microsoft.com/office/drawing/2014/chart" uri="{C3380CC4-5D6E-409C-BE32-E72D297353CC}">
              <c16:uniqueId val="{00000000-67BD-46C0-AB00-4BDBD46E21BF}"/>
            </c:ext>
          </c:extLst>
        </c:ser>
        <c:dLbls>
          <c:dLblPos val="outEnd"/>
          <c:showLegendKey val="0"/>
          <c:showVal val="1"/>
          <c:showCatName val="0"/>
          <c:showSerName val="0"/>
          <c:showPercent val="0"/>
          <c:showBubbleSize val="0"/>
        </c:dLbls>
        <c:gapWidth val="59"/>
        <c:overlap val="-27"/>
        <c:axId val="1590697279"/>
        <c:axId val="1590715519"/>
      </c:barChart>
      <c:catAx>
        <c:axId val="159069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ln>
                  <a:noFill/>
                </a:ln>
                <a:solidFill>
                  <a:schemeClr val="tx1"/>
                </a:solidFill>
                <a:latin typeface="+mn-lt"/>
                <a:ea typeface="+mn-ea"/>
                <a:cs typeface="+mn-cs"/>
              </a:defRPr>
            </a:pPr>
            <a:endParaRPr lang="en-US"/>
          </a:p>
        </c:txPr>
        <c:crossAx val="1590715519"/>
        <c:crosses val="autoZero"/>
        <c:auto val="1"/>
        <c:lblAlgn val="ctr"/>
        <c:lblOffset val="100"/>
        <c:noMultiLvlLbl val="0"/>
      </c:catAx>
      <c:valAx>
        <c:axId val="1590715519"/>
        <c:scaling>
          <c:orientation val="minMax"/>
          <c:max val="1"/>
          <c:min val="0"/>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90697279"/>
        <c:crosses val="autoZero"/>
        <c:crossBetween val="between"/>
        <c:majorUnit val="0.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pivots!$M$7:$M$11</c:f>
              <c:strCache>
                <c:ptCount val="5"/>
                <c:pt idx="0">
                  <c:v>Jyoti Tulsani</c:v>
                </c:pt>
                <c:pt idx="1">
                  <c:v>Mubeen Khan</c:v>
                </c:pt>
                <c:pt idx="2">
                  <c:v>Praveen Kumar</c:v>
                </c:pt>
                <c:pt idx="3">
                  <c:v>Sanjiv Subherwal</c:v>
                </c:pt>
                <c:pt idx="4">
                  <c:v>Sushma Khandelwal</c:v>
                </c:pt>
              </c:strCache>
            </c:strRef>
          </c:cat>
          <c:val>
            <c:numRef>
              <c:f>pivots!$N$7:$N$11</c:f>
              <c:numCache>
                <c:formatCode>General</c:formatCode>
                <c:ptCount val="5"/>
                <c:pt idx="0">
                  <c:v>#N/A</c:v>
                </c:pt>
                <c:pt idx="1">
                  <c:v>#N/A</c:v>
                </c:pt>
                <c:pt idx="2">
                  <c:v>166</c:v>
                </c:pt>
                <c:pt idx="3">
                  <c:v>#N/A</c:v>
                </c:pt>
                <c:pt idx="4">
                  <c:v>#N/A</c:v>
                </c:pt>
              </c:numCache>
            </c:numRef>
          </c:val>
          <c:extLst>
            <c:ext xmlns:c16="http://schemas.microsoft.com/office/drawing/2014/chart" uri="{C3380CC4-5D6E-409C-BE32-E72D297353CC}">
              <c16:uniqueId val="{00000000-4BA2-4DE9-BE70-F937915599D9}"/>
            </c:ext>
          </c:extLst>
        </c:ser>
        <c:ser>
          <c:idx val="1"/>
          <c:order val="1"/>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pivots!$M$7:$M$11</c:f>
              <c:strCache>
                <c:ptCount val="5"/>
                <c:pt idx="0">
                  <c:v>Jyoti Tulsani</c:v>
                </c:pt>
                <c:pt idx="1">
                  <c:v>Mubeen Khan</c:v>
                </c:pt>
                <c:pt idx="2">
                  <c:v>Praveen Kumar</c:v>
                </c:pt>
                <c:pt idx="3">
                  <c:v>Sanjiv Subherwal</c:v>
                </c:pt>
                <c:pt idx="4">
                  <c:v>Sushma Khandelwal</c:v>
                </c:pt>
              </c:strCache>
            </c:strRef>
          </c:cat>
          <c:val>
            <c:numRef>
              <c:f>pivots!$O$7:$O$11</c:f>
              <c:numCache>
                <c:formatCode>General</c:formatCode>
                <c:ptCount val="5"/>
                <c:pt idx="0">
                  <c:v>228</c:v>
                </c:pt>
                <c:pt idx="1">
                  <c:v>209</c:v>
                </c:pt>
                <c:pt idx="2">
                  <c:v>#N/A</c:v>
                </c:pt>
                <c:pt idx="3">
                  <c:v>223</c:v>
                </c:pt>
                <c:pt idx="4">
                  <c:v>213</c:v>
                </c:pt>
              </c:numCache>
            </c:numRef>
          </c:val>
          <c:extLst>
            <c:ext xmlns:c16="http://schemas.microsoft.com/office/drawing/2014/chart" uri="{C3380CC4-5D6E-409C-BE32-E72D297353CC}">
              <c16:uniqueId val="{00000001-4BA2-4DE9-BE70-F937915599D9}"/>
            </c:ext>
          </c:extLst>
        </c:ser>
        <c:dLbls>
          <c:dLblPos val="outEnd"/>
          <c:showLegendKey val="0"/>
          <c:showVal val="1"/>
          <c:showCatName val="0"/>
          <c:showSerName val="0"/>
          <c:showPercent val="0"/>
          <c:showBubbleSize val="0"/>
        </c:dLbls>
        <c:gapWidth val="30"/>
        <c:overlap val="100"/>
        <c:axId val="1590731839"/>
        <c:axId val="1590733279"/>
      </c:barChart>
      <c:catAx>
        <c:axId val="1590731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90733279"/>
        <c:crosses val="autoZero"/>
        <c:auto val="1"/>
        <c:lblAlgn val="ctr"/>
        <c:lblOffset val="100"/>
        <c:noMultiLvlLbl val="0"/>
      </c:catAx>
      <c:valAx>
        <c:axId val="1590733279"/>
        <c:scaling>
          <c:orientation val="minMax"/>
          <c:min val="10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90731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2-5F02-4584-B9B0-5FAFF36BEA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pivots!$AA$7:$AA$11</c:f>
              <c:strCache>
                <c:ptCount val="5"/>
                <c:pt idx="0">
                  <c:v>Jyoti Tulsani</c:v>
                </c:pt>
                <c:pt idx="1">
                  <c:v>Mubeen Khan</c:v>
                </c:pt>
                <c:pt idx="2">
                  <c:v>Praveen Kumar</c:v>
                </c:pt>
                <c:pt idx="3">
                  <c:v>Sanjiv Subherwal</c:v>
                </c:pt>
                <c:pt idx="4">
                  <c:v>Sushma Khandelwal</c:v>
                </c:pt>
              </c:strCache>
            </c:strRef>
          </c:cat>
          <c:val>
            <c:numRef>
              <c:f>pivots!$AB$7:$AB$11</c:f>
              <c:numCache>
                <c:formatCode>0.00%</c:formatCode>
                <c:ptCount val="5"/>
                <c:pt idx="0" formatCode="General">
                  <c:v>#N/A</c:v>
                </c:pt>
                <c:pt idx="1">
                  <c:v>#N/A</c:v>
                </c:pt>
                <c:pt idx="2" formatCode="General">
                  <c:v>0.66799999999999993</c:v>
                </c:pt>
                <c:pt idx="3" formatCode="General">
                  <c:v>#N/A</c:v>
                </c:pt>
                <c:pt idx="4" formatCode="General">
                  <c:v>#N/A</c:v>
                </c:pt>
              </c:numCache>
            </c:numRef>
          </c:val>
          <c:extLst>
            <c:ext xmlns:c16="http://schemas.microsoft.com/office/drawing/2014/chart" uri="{C3380CC4-5D6E-409C-BE32-E72D297353CC}">
              <c16:uniqueId val="{00000000-5F02-4584-B9B0-5FAFF36BEAA6}"/>
            </c:ext>
          </c:extLst>
        </c:ser>
        <c:ser>
          <c:idx val="1"/>
          <c:order val="1"/>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pivots!$AA$7:$AA$11</c:f>
              <c:strCache>
                <c:ptCount val="5"/>
                <c:pt idx="0">
                  <c:v>Jyoti Tulsani</c:v>
                </c:pt>
                <c:pt idx="1">
                  <c:v>Mubeen Khan</c:v>
                </c:pt>
                <c:pt idx="2">
                  <c:v>Praveen Kumar</c:v>
                </c:pt>
                <c:pt idx="3">
                  <c:v>Sanjiv Subherwal</c:v>
                </c:pt>
                <c:pt idx="4">
                  <c:v>Sushma Khandelwal</c:v>
                </c:pt>
              </c:strCache>
            </c:strRef>
          </c:cat>
          <c:val>
            <c:numRef>
              <c:f>pivots!$AC$7:$AC$11</c:f>
              <c:numCache>
                <c:formatCode>0.00%</c:formatCode>
                <c:ptCount val="5"/>
                <c:pt idx="0">
                  <c:v>0.54400000000000004</c:v>
                </c:pt>
                <c:pt idx="1">
                  <c:v>0.58200000000000007</c:v>
                </c:pt>
                <c:pt idx="2">
                  <c:v>#N/A</c:v>
                </c:pt>
                <c:pt idx="3">
                  <c:v>0.55400000000000005</c:v>
                </c:pt>
                <c:pt idx="4">
                  <c:v>0.57400000000000007</c:v>
                </c:pt>
              </c:numCache>
            </c:numRef>
          </c:val>
          <c:extLst>
            <c:ext xmlns:c16="http://schemas.microsoft.com/office/drawing/2014/chart" uri="{C3380CC4-5D6E-409C-BE32-E72D297353CC}">
              <c16:uniqueId val="{00000001-5F02-4584-B9B0-5FAFF36BEAA6}"/>
            </c:ext>
          </c:extLst>
        </c:ser>
        <c:dLbls>
          <c:dLblPos val="ctr"/>
          <c:showLegendKey val="0"/>
          <c:showVal val="1"/>
          <c:showCatName val="0"/>
          <c:showSerName val="0"/>
          <c:showPercent val="0"/>
          <c:showBubbleSize val="0"/>
        </c:dLbls>
        <c:gapWidth val="62"/>
        <c:overlap val="100"/>
        <c:axId val="1590727519"/>
        <c:axId val="1590723199"/>
      </c:barChart>
      <c:catAx>
        <c:axId val="159072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90723199"/>
        <c:crosses val="autoZero"/>
        <c:auto val="1"/>
        <c:lblAlgn val="ctr"/>
        <c:lblOffset val="100"/>
        <c:noMultiLvlLbl val="0"/>
      </c:catAx>
      <c:valAx>
        <c:axId val="1590723199"/>
        <c:scaling>
          <c:orientation val="minMax"/>
          <c:max val="1"/>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727519"/>
        <c:crosses val="autoZero"/>
        <c:crossBetween val="between"/>
        <c:majorUnit val="0.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8.png"/><Relationship Id="rId3" Type="http://schemas.openxmlformats.org/officeDocument/2006/relationships/image" Target="../media/image2.png"/><Relationship Id="rId7" Type="http://schemas.openxmlformats.org/officeDocument/2006/relationships/chart" Target="../charts/chart1.xml"/><Relationship Id="rId12" Type="http://schemas.openxmlformats.org/officeDocument/2006/relationships/image" Target="../media/image7.png"/><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image" Target="../media/image5.png"/><Relationship Id="rId11" Type="http://schemas.openxmlformats.org/officeDocument/2006/relationships/image" Target="../media/image6.png"/><Relationship Id="rId5" Type="http://schemas.openxmlformats.org/officeDocument/2006/relationships/image" Target="../media/image4.png"/><Relationship Id="rId10" Type="http://schemas.openxmlformats.org/officeDocument/2006/relationships/chart" Target="../charts/chart4.xml"/><Relationship Id="rId4" Type="http://schemas.openxmlformats.org/officeDocument/2006/relationships/image" Target="../media/image3.png"/><Relationship Id="rId9" Type="http://schemas.openxmlformats.org/officeDocument/2006/relationships/chart" Target="../charts/chart3.xml"/><Relationship Id="rId14" Type="http://schemas.openxmlformats.org/officeDocument/2006/relationships/image" Target="../media/image9.png"/></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482600</xdr:colOff>
      <xdr:row>53</xdr:row>
      <xdr:rowOff>0</xdr:rowOff>
    </xdr:to>
    <xdr:sp macro="" textlink="">
      <xdr:nvSpPr>
        <xdr:cNvPr id="2" name="TextBox 1">
          <a:extLst>
            <a:ext uri="{FF2B5EF4-FFF2-40B4-BE49-F238E27FC236}">
              <a16:creationId xmlns:a16="http://schemas.microsoft.com/office/drawing/2014/main" id="{0840D460-F298-66F8-FB5D-86D5438BF09C}"/>
            </a:ext>
          </a:extLst>
        </xdr:cNvPr>
        <xdr:cNvSpPr txBox="1"/>
      </xdr:nvSpPr>
      <xdr:spPr>
        <a:xfrm>
          <a:off x="0" y="0"/>
          <a:ext cx="16941800" cy="9423400"/>
        </a:xfrm>
        <a:prstGeom prst="rect">
          <a:avLst/>
        </a:prstGeom>
        <a:solidFill>
          <a:schemeClr val="bg1"/>
        </a:solidFill>
        <a:ln w="9525" cmpd="sng">
          <a:solidFill>
            <a:srgbClr val="1F4E80"/>
          </a:solidFill>
        </a:ln>
        <a:effectLst>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2"/>
              </a:solidFill>
            </a:rPr>
            <a:t>cv</a:t>
          </a:r>
        </a:p>
      </xdr:txBody>
    </xdr:sp>
    <xdr:clientData/>
  </xdr:twoCellAnchor>
  <xdr:twoCellAnchor>
    <xdr:from>
      <xdr:col>0</xdr:col>
      <xdr:colOff>0</xdr:colOff>
      <xdr:row>0</xdr:row>
      <xdr:rowOff>48249</xdr:rowOff>
    </xdr:from>
    <xdr:to>
      <xdr:col>14</xdr:col>
      <xdr:colOff>73069</xdr:colOff>
      <xdr:row>3</xdr:row>
      <xdr:rowOff>100441</xdr:rowOff>
    </xdr:to>
    <xdr:sp macro="" textlink="">
      <xdr:nvSpPr>
        <xdr:cNvPr id="3" name="TextBox 2">
          <a:extLst>
            <a:ext uri="{FF2B5EF4-FFF2-40B4-BE49-F238E27FC236}">
              <a16:creationId xmlns:a16="http://schemas.microsoft.com/office/drawing/2014/main" id="{43F38D35-7649-CB16-6EFE-01FEE8EB624B}"/>
            </a:ext>
          </a:extLst>
        </xdr:cNvPr>
        <xdr:cNvSpPr txBox="1"/>
      </xdr:nvSpPr>
      <xdr:spPr>
        <a:xfrm>
          <a:off x="0" y="48249"/>
          <a:ext cx="8607469" cy="610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t>📊</a:t>
          </a:r>
          <a:r>
            <a:rPr lang="en-IN" sz="3600" b="1">
              <a:solidFill>
                <a:srgbClr val="1F4E80"/>
              </a:solidFill>
            </a:rPr>
            <a:t>SALES  PERFORMANCE  DASH BOARD</a:t>
          </a:r>
        </a:p>
        <a:p>
          <a:r>
            <a:rPr lang="en-IN" sz="2400" b="1">
              <a:solidFill>
                <a:srgbClr val="1F4E80"/>
              </a:solidFill>
            </a:rPr>
            <a:t>	</a:t>
          </a:r>
        </a:p>
      </xdr:txBody>
    </xdr:sp>
    <xdr:clientData/>
  </xdr:twoCellAnchor>
  <xdr:twoCellAnchor editAs="oneCell">
    <xdr:from>
      <xdr:col>12</xdr:col>
      <xdr:colOff>528223</xdr:colOff>
      <xdr:row>1</xdr:row>
      <xdr:rowOff>22413</xdr:rowOff>
    </xdr:from>
    <xdr:to>
      <xdr:col>26</xdr:col>
      <xdr:colOff>550540</xdr:colOff>
      <xdr:row>3</xdr:row>
      <xdr:rowOff>67237</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177325BE-F1E5-44E9-ABA2-845E1E86881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864688" y="208483"/>
              <a:ext cx="8581526" cy="4169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281836</xdr:colOff>
      <xdr:row>2</xdr:row>
      <xdr:rowOff>167014</xdr:rowOff>
    </xdr:from>
    <xdr:to>
      <xdr:col>9</xdr:col>
      <xdr:colOff>73068</xdr:colOff>
      <xdr:row>4</xdr:row>
      <xdr:rowOff>52191</xdr:rowOff>
    </xdr:to>
    <xdr:sp macro="" textlink="">
      <xdr:nvSpPr>
        <xdr:cNvPr id="5" name="TextBox 4">
          <a:extLst>
            <a:ext uri="{FF2B5EF4-FFF2-40B4-BE49-F238E27FC236}">
              <a16:creationId xmlns:a16="http://schemas.microsoft.com/office/drawing/2014/main" id="{3E3E4D5B-B1D0-7D21-4764-E297E04992AC}"/>
            </a:ext>
          </a:extLst>
        </xdr:cNvPr>
        <xdr:cNvSpPr txBox="1"/>
      </xdr:nvSpPr>
      <xdr:spPr>
        <a:xfrm>
          <a:off x="281836" y="542795"/>
          <a:ext cx="5240054" cy="2609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dk1"/>
              </a:solidFill>
              <a:effectLst/>
              <a:latin typeface="+mn-lt"/>
              <a:ea typeface="+mn-ea"/>
              <a:cs typeface="+mn-cs"/>
            </a:rPr>
            <a:t>           Track and Analyze sales performance of executives across</a:t>
          </a:r>
          <a:r>
            <a:rPr lang="en-IN" sz="1200" b="1" baseline="0">
              <a:solidFill>
                <a:schemeClr val="dk1"/>
              </a:solidFill>
              <a:effectLst/>
              <a:latin typeface="+mn-lt"/>
              <a:ea typeface="+mn-ea"/>
              <a:cs typeface="+mn-cs"/>
            </a:rPr>
            <a:t> different cities </a:t>
          </a:r>
          <a:endParaRPr lang="en-IN" sz="1200"/>
        </a:p>
      </xdr:txBody>
    </xdr:sp>
    <xdr:clientData/>
  </xdr:twoCellAnchor>
  <xdr:twoCellAnchor editAs="oneCell">
    <xdr:from>
      <xdr:col>8</xdr:col>
      <xdr:colOff>229363</xdr:colOff>
      <xdr:row>16</xdr:row>
      <xdr:rowOff>62753</xdr:rowOff>
    </xdr:from>
    <xdr:to>
      <xdr:col>8</xdr:col>
      <xdr:colOff>229723</xdr:colOff>
      <xdr:row>16</xdr:row>
      <xdr:rowOff>63113</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6" name="Ink 5">
              <a:extLst>
                <a:ext uri="{FF2B5EF4-FFF2-40B4-BE49-F238E27FC236}">
                  <a16:creationId xmlns:a16="http://schemas.microsoft.com/office/drawing/2014/main" id="{AEB54DF4-7EC0-803B-C960-5EE92F3171AC}"/>
                </a:ext>
              </a:extLst>
            </xdr14:cNvPr>
            <xdr14:cNvContentPartPr/>
          </xdr14:nvContentPartPr>
          <xdr14:nvPr macro=""/>
          <xdr14:xfrm>
            <a:off x="5072760" y="3069000"/>
            <a:ext cx="360" cy="360"/>
          </xdr14:xfrm>
        </xdr:contentPart>
      </mc:Choice>
      <mc:Fallback xmlns="">
        <xdr:pic>
          <xdr:nvPicPr>
            <xdr:cNvPr id="6" name="Ink 5">
              <a:extLst>
                <a:ext uri="{FF2B5EF4-FFF2-40B4-BE49-F238E27FC236}">
                  <a16:creationId xmlns:a16="http://schemas.microsoft.com/office/drawing/2014/main" id="{AEB54DF4-7EC0-803B-C960-5EE92F3171AC}"/>
                </a:ext>
              </a:extLst>
            </xdr:cNvPr>
            <xdr:cNvPicPr/>
          </xdr:nvPicPr>
          <xdr:blipFill>
            <a:blip xmlns:r="http://schemas.openxmlformats.org/officeDocument/2006/relationships" r:embed="rId2"/>
            <a:stretch>
              <a:fillRect/>
            </a:stretch>
          </xdr:blipFill>
          <xdr:spPr>
            <a:xfrm>
              <a:off x="5066640" y="3062880"/>
              <a:ext cx="12600" cy="12600"/>
            </a:xfrm>
            <a:prstGeom prst="rect">
              <a:avLst/>
            </a:prstGeom>
          </xdr:spPr>
        </xdr:pic>
      </mc:Fallback>
    </mc:AlternateContent>
    <xdr:clientData/>
  </xdr:twoCellAnchor>
  <xdr:twoCellAnchor>
    <xdr:from>
      <xdr:col>0</xdr:col>
      <xdr:colOff>0</xdr:colOff>
      <xdr:row>4</xdr:row>
      <xdr:rowOff>168089</xdr:rowOff>
    </xdr:from>
    <xdr:to>
      <xdr:col>27</xdr:col>
      <xdr:colOff>560295</xdr:colOff>
      <xdr:row>5</xdr:row>
      <xdr:rowOff>10438</xdr:rowOff>
    </xdr:to>
    <xdr:cxnSp macro="">
      <xdr:nvCxnSpPr>
        <xdr:cNvPr id="9" name="Straight Connector 8">
          <a:extLst>
            <a:ext uri="{FF2B5EF4-FFF2-40B4-BE49-F238E27FC236}">
              <a16:creationId xmlns:a16="http://schemas.microsoft.com/office/drawing/2014/main" id="{34CAB77F-FA3E-8A83-31B3-08CED935B630}"/>
            </a:ext>
          </a:extLst>
        </xdr:cNvPr>
        <xdr:cNvCxnSpPr/>
      </xdr:nvCxnSpPr>
      <xdr:spPr>
        <a:xfrm flipV="1">
          <a:off x="0" y="885265"/>
          <a:ext cx="16898471" cy="2164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125259</xdr:colOff>
      <xdr:row>5</xdr:row>
      <xdr:rowOff>125261</xdr:rowOff>
    </xdr:from>
    <xdr:to>
      <xdr:col>5</xdr:col>
      <xdr:colOff>469726</xdr:colOff>
      <xdr:row>14</xdr:row>
      <xdr:rowOff>73070</xdr:rowOff>
    </xdr:to>
    <xdr:sp macro="" textlink="">
      <xdr:nvSpPr>
        <xdr:cNvPr id="15" name="Rectangle: Rounded Corners 14">
          <a:extLst>
            <a:ext uri="{FF2B5EF4-FFF2-40B4-BE49-F238E27FC236}">
              <a16:creationId xmlns:a16="http://schemas.microsoft.com/office/drawing/2014/main" id="{A1C16E60-EB97-AAD5-B42E-FFD8E7DE1D42}"/>
            </a:ext>
          </a:extLst>
        </xdr:cNvPr>
        <xdr:cNvSpPr/>
      </xdr:nvSpPr>
      <xdr:spPr>
        <a:xfrm>
          <a:off x="125259" y="1064713"/>
          <a:ext cx="3371590" cy="1638823"/>
        </a:xfrm>
        <a:prstGeom prst="roundRect">
          <a:avLst/>
        </a:prstGeom>
        <a:solidFill>
          <a:schemeClr val="bg1"/>
        </a:solidFill>
        <a:ln>
          <a:solidFill>
            <a:srgbClr val="1F4E80"/>
          </a:solid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b="1" cap="none" spc="0">
            <a:ln w="22225">
              <a:solidFill>
                <a:schemeClr val="accent2"/>
              </a:solidFill>
              <a:prstDash val="solid"/>
            </a:ln>
            <a:solidFill>
              <a:schemeClr val="accent2">
                <a:lumMod val="40000"/>
                <a:lumOff val="60000"/>
              </a:schemeClr>
            </a:solidFill>
            <a:effectLst/>
            <a:latin typeface="+mn-lt"/>
            <a:ea typeface="+mn-ea"/>
            <a:cs typeface="+mn-cs"/>
          </a:endParaRPr>
        </a:p>
      </xdr:txBody>
    </xdr:sp>
    <xdr:clientData/>
  </xdr:twoCellAnchor>
  <xdr:twoCellAnchor>
    <xdr:from>
      <xdr:col>1</xdr:col>
      <xdr:colOff>563671</xdr:colOff>
      <xdr:row>5</xdr:row>
      <xdr:rowOff>156574</xdr:rowOff>
    </xdr:from>
    <xdr:to>
      <xdr:col>4</xdr:col>
      <xdr:colOff>521917</xdr:colOff>
      <xdr:row>8</xdr:row>
      <xdr:rowOff>41752</xdr:rowOff>
    </xdr:to>
    <xdr:sp macro="" textlink="">
      <xdr:nvSpPr>
        <xdr:cNvPr id="31" name="TextBox 30">
          <a:extLst>
            <a:ext uri="{FF2B5EF4-FFF2-40B4-BE49-F238E27FC236}">
              <a16:creationId xmlns:a16="http://schemas.microsoft.com/office/drawing/2014/main" id="{53926F4C-C83E-97FF-252F-1025BA43A892}"/>
            </a:ext>
          </a:extLst>
        </xdr:cNvPr>
        <xdr:cNvSpPr txBox="1"/>
      </xdr:nvSpPr>
      <xdr:spPr>
        <a:xfrm>
          <a:off x="1169096" y="1096026"/>
          <a:ext cx="1774520" cy="448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Total Sales</a:t>
          </a:r>
        </a:p>
      </xdr:txBody>
    </xdr:sp>
    <xdr:clientData/>
  </xdr:twoCellAnchor>
  <xdr:twoCellAnchor>
    <xdr:from>
      <xdr:col>0</xdr:col>
      <xdr:colOff>198329</xdr:colOff>
      <xdr:row>6</xdr:row>
      <xdr:rowOff>177451</xdr:rowOff>
    </xdr:from>
    <xdr:to>
      <xdr:col>1</xdr:col>
      <xdr:colOff>501042</xdr:colOff>
      <xdr:row>12</xdr:row>
      <xdr:rowOff>31316</xdr:rowOff>
    </xdr:to>
    <xdr:sp macro="" textlink="">
      <xdr:nvSpPr>
        <xdr:cNvPr id="33" name="Flowchart: Connector 32">
          <a:extLst>
            <a:ext uri="{FF2B5EF4-FFF2-40B4-BE49-F238E27FC236}">
              <a16:creationId xmlns:a16="http://schemas.microsoft.com/office/drawing/2014/main" id="{A46EE442-0646-A4DC-7D2D-8DE5B8A42E45}"/>
            </a:ext>
          </a:extLst>
        </xdr:cNvPr>
        <xdr:cNvSpPr/>
      </xdr:nvSpPr>
      <xdr:spPr>
        <a:xfrm>
          <a:off x="198329" y="1304793"/>
          <a:ext cx="908138" cy="981208"/>
        </a:xfrm>
        <a:prstGeom prst="flowChartConnector">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31314</xdr:colOff>
      <xdr:row>6</xdr:row>
      <xdr:rowOff>121552</xdr:rowOff>
    </xdr:from>
    <xdr:to>
      <xdr:col>2</xdr:col>
      <xdr:colOff>81424</xdr:colOff>
      <xdr:row>13</xdr:row>
      <xdr:rowOff>24861</xdr:rowOff>
    </xdr:to>
    <xdr:pic>
      <xdr:nvPicPr>
        <xdr:cNvPr id="32" name="Picture 31">
          <a:extLst>
            <a:ext uri="{FF2B5EF4-FFF2-40B4-BE49-F238E27FC236}">
              <a16:creationId xmlns:a16="http://schemas.microsoft.com/office/drawing/2014/main" id="{CF6E0808-68A8-B7B8-688E-974D62280515}"/>
            </a:ext>
          </a:extLst>
        </xdr:cNvPr>
        <xdr:cNvPicPr>
          <a:picLocks noChangeAspect="1"/>
        </xdr:cNvPicPr>
      </xdr:nvPicPr>
      <xdr:blipFill>
        <a:blip xmlns:r="http://schemas.openxmlformats.org/officeDocument/2006/relationships" r:embed="rId3">
          <a:duotone>
            <a:schemeClr val="bg2">
              <a:shade val="45000"/>
              <a:satMod val="135000"/>
            </a:schemeClr>
            <a:prstClr val="white"/>
          </a:duotone>
        </a:blip>
        <a:stretch>
          <a:fillRect/>
        </a:stretch>
      </xdr:blipFill>
      <xdr:spPr>
        <a:xfrm>
          <a:off x="31314" y="1188352"/>
          <a:ext cx="1269310" cy="1147909"/>
        </a:xfrm>
        <a:prstGeom prst="rect">
          <a:avLst/>
        </a:prstGeom>
        <a:ln>
          <a:noFill/>
        </a:ln>
      </xdr:spPr>
    </xdr:pic>
    <xdr:clientData/>
  </xdr:twoCellAnchor>
  <xdr:twoCellAnchor>
    <xdr:from>
      <xdr:col>2</xdr:col>
      <xdr:colOff>250520</xdr:colOff>
      <xdr:row>8</xdr:row>
      <xdr:rowOff>2817</xdr:rowOff>
    </xdr:from>
    <xdr:to>
      <xdr:col>3</xdr:col>
      <xdr:colOff>521917</xdr:colOff>
      <xdr:row>10</xdr:row>
      <xdr:rowOff>167014</xdr:rowOff>
    </xdr:to>
    <xdr:sp macro="" textlink="pivots!A35">
      <xdr:nvSpPr>
        <xdr:cNvPr id="34" name="TextBox 33">
          <a:extLst>
            <a:ext uri="{FF2B5EF4-FFF2-40B4-BE49-F238E27FC236}">
              <a16:creationId xmlns:a16="http://schemas.microsoft.com/office/drawing/2014/main" id="{F7BF8B6A-E76F-FC84-52FF-B50F59903B18}"/>
            </a:ext>
          </a:extLst>
        </xdr:cNvPr>
        <xdr:cNvSpPr txBox="1"/>
      </xdr:nvSpPr>
      <xdr:spPr>
        <a:xfrm>
          <a:off x="1461369" y="1505940"/>
          <a:ext cx="876822" cy="539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82295A-240F-4ECC-8E8C-C424957763E4}" type="TxLink">
            <a:rPr lang="en-US" sz="3200" b="1" i="0" u="none" strike="noStrike">
              <a:solidFill>
                <a:srgbClr val="1F4E79"/>
              </a:solidFill>
              <a:latin typeface="Aptos Narrow"/>
            </a:rPr>
            <a:pPr/>
            <a:t>18</a:t>
          </a:fld>
          <a:endParaRPr lang="en-IN" sz="3200" b="1">
            <a:solidFill>
              <a:srgbClr val="1F4E79"/>
            </a:solidFill>
          </a:endParaRPr>
        </a:p>
      </xdr:txBody>
    </xdr:sp>
    <xdr:clientData/>
  </xdr:twoCellAnchor>
  <xdr:twoCellAnchor>
    <xdr:from>
      <xdr:col>2</xdr:col>
      <xdr:colOff>1</xdr:colOff>
      <xdr:row>11</xdr:row>
      <xdr:rowOff>83506</xdr:rowOff>
    </xdr:from>
    <xdr:to>
      <xdr:col>4</xdr:col>
      <xdr:colOff>386220</xdr:colOff>
      <xdr:row>12</xdr:row>
      <xdr:rowOff>114822</xdr:rowOff>
    </xdr:to>
    <xdr:sp macro="" textlink="">
      <xdr:nvSpPr>
        <xdr:cNvPr id="35" name="TextBox 34">
          <a:extLst>
            <a:ext uri="{FF2B5EF4-FFF2-40B4-BE49-F238E27FC236}">
              <a16:creationId xmlns:a16="http://schemas.microsoft.com/office/drawing/2014/main" id="{A6B53BC1-3CA1-3AD3-EBE8-433DACABA0F1}"/>
            </a:ext>
          </a:extLst>
        </xdr:cNvPr>
        <xdr:cNvSpPr txBox="1"/>
      </xdr:nvSpPr>
      <xdr:spPr>
        <a:xfrm>
          <a:off x="1210850" y="2150301"/>
          <a:ext cx="1597069" cy="2192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tx1">
                  <a:lumMod val="65000"/>
                  <a:lumOff val="35000"/>
                </a:schemeClr>
              </a:solidFill>
            </a:rPr>
            <a:t>Sum of Total Sales</a:t>
          </a:r>
        </a:p>
      </xdr:txBody>
    </xdr:sp>
    <xdr:clientData/>
  </xdr:twoCellAnchor>
  <xdr:twoCellAnchor>
    <xdr:from>
      <xdr:col>14</xdr:col>
      <xdr:colOff>93945</xdr:colOff>
      <xdr:row>5</xdr:row>
      <xdr:rowOff>135699</xdr:rowOff>
    </xdr:from>
    <xdr:to>
      <xdr:col>19</xdr:col>
      <xdr:colOff>438412</xdr:colOff>
      <xdr:row>14</xdr:row>
      <xdr:rowOff>83508</xdr:rowOff>
    </xdr:to>
    <xdr:sp macro="" textlink="">
      <xdr:nvSpPr>
        <xdr:cNvPr id="36" name="Rectangle: Rounded Corners 35">
          <a:extLst>
            <a:ext uri="{FF2B5EF4-FFF2-40B4-BE49-F238E27FC236}">
              <a16:creationId xmlns:a16="http://schemas.microsoft.com/office/drawing/2014/main" id="{CE684A0A-18D3-476D-B251-D37F063F09F6}"/>
            </a:ext>
          </a:extLst>
        </xdr:cNvPr>
        <xdr:cNvSpPr/>
      </xdr:nvSpPr>
      <xdr:spPr>
        <a:xfrm>
          <a:off x="8569890" y="1075151"/>
          <a:ext cx="3371590" cy="1638823"/>
        </a:xfrm>
        <a:prstGeom prst="roundRect">
          <a:avLst/>
        </a:prstGeom>
        <a:solidFill>
          <a:schemeClr val="bg1"/>
        </a:solidFill>
        <a:ln>
          <a:solidFill>
            <a:schemeClr val="accent6"/>
          </a:solid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b="1" cap="none" spc="0">
            <a:ln w="22225">
              <a:solidFill>
                <a:schemeClr val="accent2"/>
              </a:solidFill>
              <a:prstDash val="solid"/>
            </a:ln>
            <a:solidFill>
              <a:schemeClr val="accent2">
                <a:lumMod val="40000"/>
                <a:lumOff val="60000"/>
              </a:schemeClr>
            </a:solidFill>
            <a:effectLst/>
            <a:latin typeface="+mn-lt"/>
            <a:ea typeface="+mn-ea"/>
            <a:cs typeface="+mn-cs"/>
          </a:endParaRPr>
        </a:p>
      </xdr:txBody>
    </xdr:sp>
    <xdr:clientData/>
  </xdr:twoCellAnchor>
  <xdr:twoCellAnchor>
    <xdr:from>
      <xdr:col>7</xdr:col>
      <xdr:colOff>48015</xdr:colOff>
      <xdr:row>5</xdr:row>
      <xdr:rowOff>121085</xdr:rowOff>
    </xdr:from>
    <xdr:to>
      <xdr:col>12</xdr:col>
      <xdr:colOff>392482</xdr:colOff>
      <xdr:row>14</xdr:row>
      <xdr:rowOff>68894</xdr:rowOff>
    </xdr:to>
    <xdr:sp macro="" textlink="">
      <xdr:nvSpPr>
        <xdr:cNvPr id="37" name="Rectangle: Rounded Corners 36">
          <a:extLst>
            <a:ext uri="{FF2B5EF4-FFF2-40B4-BE49-F238E27FC236}">
              <a16:creationId xmlns:a16="http://schemas.microsoft.com/office/drawing/2014/main" id="{100CF430-1968-43C8-9A2F-8045BF7CD5CC}"/>
            </a:ext>
          </a:extLst>
        </xdr:cNvPr>
        <xdr:cNvSpPr/>
      </xdr:nvSpPr>
      <xdr:spPr>
        <a:xfrm>
          <a:off x="4285988" y="1060537"/>
          <a:ext cx="3371590" cy="1638823"/>
        </a:xfrm>
        <a:prstGeom prst="roundRect">
          <a:avLst/>
        </a:prstGeom>
        <a:solidFill>
          <a:schemeClr val="bg1"/>
        </a:solidFill>
        <a:ln>
          <a:solidFill>
            <a:schemeClr val="accent6"/>
          </a:solid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b="1" cap="none" spc="0">
            <a:ln w="22225">
              <a:solidFill>
                <a:schemeClr val="accent2"/>
              </a:solidFill>
              <a:prstDash val="solid"/>
            </a:ln>
            <a:solidFill>
              <a:schemeClr val="bg1"/>
            </a:solidFill>
            <a:effectLst/>
            <a:latin typeface="+mn-lt"/>
            <a:ea typeface="+mn-ea"/>
            <a:cs typeface="+mn-cs"/>
          </a:endParaRPr>
        </a:p>
      </xdr:txBody>
    </xdr:sp>
    <xdr:clientData/>
  </xdr:twoCellAnchor>
  <xdr:twoCellAnchor>
    <xdr:from>
      <xdr:col>21</xdr:col>
      <xdr:colOff>210854</xdr:colOff>
      <xdr:row>5</xdr:row>
      <xdr:rowOff>158662</xdr:rowOff>
    </xdr:from>
    <xdr:to>
      <xdr:col>26</xdr:col>
      <xdr:colOff>480164</xdr:colOff>
      <xdr:row>14</xdr:row>
      <xdr:rowOff>106471</xdr:rowOff>
    </xdr:to>
    <xdr:sp macro="" textlink="">
      <xdr:nvSpPr>
        <xdr:cNvPr id="38" name="Rectangle: Rounded Corners 37">
          <a:extLst>
            <a:ext uri="{FF2B5EF4-FFF2-40B4-BE49-F238E27FC236}">
              <a16:creationId xmlns:a16="http://schemas.microsoft.com/office/drawing/2014/main" id="{A20BB8D2-4A75-4BBA-B3B3-C527B695497C}"/>
            </a:ext>
          </a:extLst>
        </xdr:cNvPr>
        <xdr:cNvSpPr/>
      </xdr:nvSpPr>
      <xdr:spPr>
        <a:xfrm>
          <a:off x="12924772" y="1098114"/>
          <a:ext cx="3296433" cy="1638823"/>
        </a:xfrm>
        <a:prstGeom prst="roundRect">
          <a:avLst/>
        </a:prstGeom>
        <a:solidFill>
          <a:schemeClr val="bg1"/>
        </a:solidFill>
        <a:ln>
          <a:solidFill>
            <a:srgbClr val="FFC000"/>
          </a:solid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b="1" cap="none" spc="0">
            <a:ln w="22225">
              <a:solidFill>
                <a:schemeClr val="accent2"/>
              </a:solidFill>
              <a:prstDash val="solid"/>
            </a:ln>
            <a:solidFill>
              <a:schemeClr val="accent2">
                <a:lumMod val="40000"/>
                <a:lumOff val="60000"/>
              </a:schemeClr>
            </a:solidFill>
            <a:effectLst/>
            <a:latin typeface="+mn-lt"/>
            <a:ea typeface="+mn-ea"/>
            <a:cs typeface="+mn-cs"/>
          </a:endParaRPr>
        </a:p>
      </xdr:txBody>
    </xdr:sp>
    <xdr:clientData/>
  </xdr:twoCellAnchor>
  <xdr:twoCellAnchor>
    <xdr:from>
      <xdr:col>8</xdr:col>
      <xdr:colOff>327767</xdr:colOff>
      <xdr:row>5</xdr:row>
      <xdr:rowOff>183714</xdr:rowOff>
    </xdr:from>
    <xdr:to>
      <xdr:col>12</xdr:col>
      <xdr:colOff>114821</xdr:colOff>
      <xdr:row>8</xdr:row>
      <xdr:rowOff>68892</xdr:rowOff>
    </xdr:to>
    <xdr:sp macro="" textlink="">
      <xdr:nvSpPr>
        <xdr:cNvPr id="39" name="TextBox 38">
          <a:extLst>
            <a:ext uri="{FF2B5EF4-FFF2-40B4-BE49-F238E27FC236}">
              <a16:creationId xmlns:a16="http://schemas.microsoft.com/office/drawing/2014/main" id="{6553744A-90A9-4178-BE3E-AA7E1B07BF50}"/>
            </a:ext>
          </a:extLst>
        </xdr:cNvPr>
        <xdr:cNvSpPr txBox="1"/>
      </xdr:nvSpPr>
      <xdr:spPr>
        <a:xfrm>
          <a:off x="5171164" y="1123166"/>
          <a:ext cx="2208753" cy="448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Average</a:t>
          </a:r>
          <a:r>
            <a:rPr lang="en-IN" sz="1800" b="1" baseline="0"/>
            <a:t> Target Hit %</a:t>
          </a:r>
          <a:endParaRPr lang="en-IN" sz="1800" b="1"/>
        </a:p>
      </xdr:txBody>
    </xdr:sp>
    <xdr:clientData/>
  </xdr:twoCellAnchor>
  <xdr:twoCellAnchor>
    <xdr:from>
      <xdr:col>9</xdr:col>
      <xdr:colOff>45930</xdr:colOff>
      <xdr:row>8</xdr:row>
      <xdr:rowOff>6263</xdr:rowOff>
    </xdr:from>
    <xdr:to>
      <xdr:col>11</xdr:col>
      <xdr:colOff>334026</xdr:colOff>
      <xdr:row>11</xdr:row>
      <xdr:rowOff>41753</xdr:rowOff>
    </xdr:to>
    <xdr:sp macro="" textlink="pivots!B35">
      <xdr:nvSpPr>
        <xdr:cNvPr id="41" name="TextBox 40">
          <a:extLst>
            <a:ext uri="{FF2B5EF4-FFF2-40B4-BE49-F238E27FC236}">
              <a16:creationId xmlns:a16="http://schemas.microsoft.com/office/drawing/2014/main" id="{3418A41B-1AD0-4F24-8531-F7C7A616E9FA}"/>
            </a:ext>
          </a:extLst>
        </xdr:cNvPr>
        <xdr:cNvSpPr txBox="1"/>
      </xdr:nvSpPr>
      <xdr:spPr>
        <a:xfrm>
          <a:off x="5494752" y="1509386"/>
          <a:ext cx="1498945" cy="59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0E79AC5-DA67-4CC5-9426-B1A1116B9C5B}" type="TxLink">
            <a:rPr lang="en-US" sz="3200" b="1" i="0" u="none" strike="noStrike">
              <a:solidFill>
                <a:schemeClr val="accent6">
                  <a:lumMod val="75000"/>
                </a:schemeClr>
              </a:solidFill>
              <a:latin typeface="Aptos Narrow"/>
            </a:rPr>
            <a:pPr/>
            <a:t>55.17%</a:t>
          </a:fld>
          <a:endParaRPr lang="en-IN" sz="3200" b="1">
            <a:solidFill>
              <a:schemeClr val="accent6">
                <a:lumMod val="75000"/>
              </a:schemeClr>
            </a:solidFill>
          </a:endParaRPr>
        </a:p>
      </xdr:txBody>
    </xdr:sp>
    <xdr:clientData/>
  </xdr:twoCellAnchor>
  <xdr:twoCellAnchor>
    <xdr:from>
      <xdr:col>8</xdr:col>
      <xdr:colOff>442591</xdr:colOff>
      <xdr:row>11</xdr:row>
      <xdr:rowOff>79329</xdr:rowOff>
    </xdr:from>
    <xdr:to>
      <xdr:col>11</xdr:col>
      <xdr:colOff>469727</xdr:colOff>
      <xdr:row>12</xdr:row>
      <xdr:rowOff>167012</xdr:rowOff>
    </xdr:to>
    <xdr:sp macro="" textlink="">
      <xdr:nvSpPr>
        <xdr:cNvPr id="42" name="TextBox 41">
          <a:extLst>
            <a:ext uri="{FF2B5EF4-FFF2-40B4-BE49-F238E27FC236}">
              <a16:creationId xmlns:a16="http://schemas.microsoft.com/office/drawing/2014/main" id="{AE1F8146-6D15-45C6-A299-DB10B5EC9A0E}"/>
            </a:ext>
          </a:extLst>
        </xdr:cNvPr>
        <xdr:cNvSpPr txBox="1"/>
      </xdr:nvSpPr>
      <xdr:spPr>
        <a:xfrm>
          <a:off x="5285988" y="2146124"/>
          <a:ext cx="1843410" cy="2755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tx1">
                  <a:lumMod val="65000"/>
                  <a:lumOff val="35000"/>
                </a:schemeClr>
              </a:solidFill>
            </a:rPr>
            <a:t>Avg</a:t>
          </a:r>
          <a:r>
            <a:rPr lang="en-IN" sz="1400" baseline="0">
              <a:solidFill>
                <a:schemeClr val="tx1">
                  <a:lumMod val="65000"/>
                  <a:lumOff val="35000"/>
                </a:schemeClr>
              </a:solidFill>
            </a:rPr>
            <a:t> Target Achievment</a:t>
          </a:r>
          <a:endParaRPr lang="en-IN" sz="1400">
            <a:solidFill>
              <a:schemeClr val="tx1">
                <a:lumMod val="65000"/>
                <a:lumOff val="35000"/>
              </a:schemeClr>
            </a:solidFill>
          </a:endParaRPr>
        </a:p>
      </xdr:txBody>
    </xdr:sp>
    <xdr:clientData/>
  </xdr:twoCellAnchor>
  <xdr:twoCellAnchor>
    <xdr:from>
      <xdr:col>15</xdr:col>
      <xdr:colOff>561587</xdr:colOff>
      <xdr:row>6</xdr:row>
      <xdr:rowOff>1</xdr:rowOff>
    </xdr:from>
    <xdr:to>
      <xdr:col>19</xdr:col>
      <xdr:colOff>260959</xdr:colOff>
      <xdr:row>8</xdr:row>
      <xdr:rowOff>73069</xdr:rowOff>
    </xdr:to>
    <xdr:sp macro="" textlink="">
      <xdr:nvSpPr>
        <xdr:cNvPr id="43" name="TextBox 42">
          <a:extLst>
            <a:ext uri="{FF2B5EF4-FFF2-40B4-BE49-F238E27FC236}">
              <a16:creationId xmlns:a16="http://schemas.microsoft.com/office/drawing/2014/main" id="{512A5242-1156-4D2D-891F-9A11AAD7F580}"/>
            </a:ext>
          </a:extLst>
        </xdr:cNvPr>
        <xdr:cNvSpPr txBox="1"/>
      </xdr:nvSpPr>
      <xdr:spPr>
        <a:xfrm>
          <a:off x="9642957" y="1127343"/>
          <a:ext cx="2121070" cy="448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Top</a:t>
          </a:r>
          <a:r>
            <a:rPr lang="en-IN" sz="2000" b="1" baseline="0"/>
            <a:t> Performer</a:t>
          </a:r>
          <a:endParaRPr lang="en-IN" sz="2000" b="1"/>
        </a:p>
      </xdr:txBody>
    </xdr:sp>
    <xdr:clientData/>
  </xdr:twoCellAnchor>
  <xdr:twoCellAnchor>
    <xdr:from>
      <xdr:col>16</xdr:col>
      <xdr:colOff>112736</xdr:colOff>
      <xdr:row>8</xdr:row>
      <xdr:rowOff>41754</xdr:rowOff>
    </xdr:from>
    <xdr:to>
      <xdr:col>19</xdr:col>
      <xdr:colOff>250520</xdr:colOff>
      <xdr:row>10</xdr:row>
      <xdr:rowOff>114821</xdr:rowOff>
    </xdr:to>
    <xdr:sp macro="" textlink="pivots!D35">
      <xdr:nvSpPr>
        <xdr:cNvPr id="45" name="TextBox 44">
          <a:extLst>
            <a:ext uri="{FF2B5EF4-FFF2-40B4-BE49-F238E27FC236}">
              <a16:creationId xmlns:a16="http://schemas.microsoft.com/office/drawing/2014/main" id="{3F30560F-82B2-4D5B-812F-0A37EFBC7160}"/>
            </a:ext>
          </a:extLst>
        </xdr:cNvPr>
        <xdr:cNvSpPr txBox="1"/>
      </xdr:nvSpPr>
      <xdr:spPr>
        <a:xfrm>
          <a:off x="9799531" y="1544877"/>
          <a:ext cx="1954057" cy="448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88EE68-2F07-49AB-B771-3E8B04B7DEE4}" type="TxLink">
            <a:rPr lang="en-US" sz="2000" b="1" i="0" u="none" strike="noStrike">
              <a:solidFill>
                <a:schemeClr val="accent6">
                  <a:lumMod val="75000"/>
                </a:schemeClr>
              </a:solidFill>
              <a:latin typeface="Aptos Narrow"/>
            </a:rPr>
            <a:pPr/>
            <a:t>Jagdish Chandra</a:t>
          </a:fld>
          <a:endParaRPr lang="en-IN" sz="2000" b="1">
            <a:solidFill>
              <a:schemeClr val="accent6">
                <a:lumMod val="75000"/>
              </a:schemeClr>
            </a:solidFill>
          </a:endParaRPr>
        </a:p>
      </xdr:txBody>
    </xdr:sp>
    <xdr:clientData/>
  </xdr:twoCellAnchor>
  <xdr:twoCellAnchor>
    <xdr:from>
      <xdr:col>16</xdr:col>
      <xdr:colOff>8355</xdr:colOff>
      <xdr:row>11</xdr:row>
      <xdr:rowOff>10439</xdr:rowOff>
    </xdr:from>
    <xdr:to>
      <xdr:col>19</xdr:col>
      <xdr:colOff>229644</xdr:colOff>
      <xdr:row>12</xdr:row>
      <xdr:rowOff>114823</xdr:rowOff>
    </xdr:to>
    <xdr:sp macro="" textlink="">
      <xdr:nvSpPr>
        <xdr:cNvPr id="46" name="TextBox 45">
          <a:extLst>
            <a:ext uri="{FF2B5EF4-FFF2-40B4-BE49-F238E27FC236}">
              <a16:creationId xmlns:a16="http://schemas.microsoft.com/office/drawing/2014/main" id="{0978CE00-10D9-44E0-AF95-4FE07170AED7}"/>
            </a:ext>
          </a:extLst>
        </xdr:cNvPr>
        <xdr:cNvSpPr txBox="1"/>
      </xdr:nvSpPr>
      <xdr:spPr>
        <a:xfrm>
          <a:off x="9695150" y="2077234"/>
          <a:ext cx="2037562" cy="2922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tx1">
                  <a:lumMod val="65000"/>
                  <a:lumOff val="35000"/>
                </a:schemeClr>
              </a:solidFill>
            </a:rPr>
            <a:t>Highest</a:t>
          </a:r>
          <a:r>
            <a:rPr lang="en-IN" sz="1400" baseline="0">
              <a:solidFill>
                <a:schemeClr val="tx1">
                  <a:lumMod val="65000"/>
                  <a:lumOff val="35000"/>
                </a:schemeClr>
              </a:solidFill>
            </a:rPr>
            <a:t> </a:t>
          </a:r>
          <a:r>
            <a:rPr lang="en-IN" sz="1400">
              <a:solidFill>
                <a:schemeClr val="tx1">
                  <a:lumMod val="65000"/>
                  <a:lumOff val="35000"/>
                </a:schemeClr>
              </a:solidFill>
            </a:rPr>
            <a:t>Total Sales(389)</a:t>
          </a:r>
        </a:p>
      </xdr:txBody>
    </xdr:sp>
    <xdr:clientData/>
  </xdr:twoCellAnchor>
  <xdr:twoCellAnchor>
    <xdr:from>
      <xdr:col>22</xdr:col>
      <xdr:colOff>574113</xdr:colOff>
      <xdr:row>5</xdr:row>
      <xdr:rowOff>158665</xdr:rowOff>
    </xdr:from>
    <xdr:to>
      <xdr:col>26</xdr:col>
      <xdr:colOff>292273</xdr:colOff>
      <xdr:row>8</xdr:row>
      <xdr:rowOff>41756</xdr:rowOff>
    </xdr:to>
    <xdr:sp macro="" textlink="">
      <xdr:nvSpPr>
        <xdr:cNvPr id="47" name="TextBox 46">
          <a:extLst>
            <a:ext uri="{FF2B5EF4-FFF2-40B4-BE49-F238E27FC236}">
              <a16:creationId xmlns:a16="http://schemas.microsoft.com/office/drawing/2014/main" id="{CF1091C1-D3A9-4D8B-9EE4-F94529046DA2}"/>
            </a:ext>
          </a:extLst>
        </xdr:cNvPr>
        <xdr:cNvSpPr txBox="1"/>
      </xdr:nvSpPr>
      <xdr:spPr>
        <a:xfrm>
          <a:off x="13893455" y="1098117"/>
          <a:ext cx="2139859" cy="446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Lowest</a:t>
          </a:r>
          <a:r>
            <a:rPr lang="en-IN" sz="2000" b="1" baseline="0"/>
            <a:t> Performer</a:t>
          </a:r>
          <a:endParaRPr lang="en-IN" sz="2000" b="1"/>
        </a:p>
      </xdr:txBody>
    </xdr:sp>
    <xdr:clientData/>
  </xdr:twoCellAnchor>
  <xdr:twoCellAnchor>
    <xdr:from>
      <xdr:col>23</xdr:col>
      <xdr:colOff>146141</xdr:colOff>
      <xdr:row>8</xdr:row>
      <xdr:rowOff>116910</xdr:rowOff>
    </xdr:from>
    <xdr:to>
      <xdr:col>25</xdr:col>
      <xdr:colOff>563672</xdr:colOff>
      <xdr:row>10</xdr:row>
      <xdr:rowOff>104383</xdr:rowOff>
    </xdr:to>
    <xdr:sp macro="" textlink="pivots!E35">
      <xdr:nvSpPr>
        <xdr:cNvPr id="49" name="TextBox 48">
          <a:extLst>
            <a:ext uri="{FF2B5EF4-FFF2-40B4-BE49-F238E27FC236}">
              <a16:creationId xmlns:a16="http://schemas.microsoft.com/office/drawing/2014/main" id="{FBB8B487-EFD8-47ED-BBB5-0548DFEAD9B6}"/>
            </a:ext>
          </a:extLst>
        </xdr:cNvPr>
        <xdr:cNvSpPr txBox="1"/>
      </xdr:nvSpPr>
      <xdr:spPr>
        <a:xfrm>
          <a:off x="14070908" y="1620033"/>
          <a:ext cx="1628380" cy="363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1A3597-8B66-4C4E-9BD8-A79FEB02A58E}" type="TxLink">
            <a:rPr lang="en-US" sz="2000" b="1" i="0" u="none" strike="noStrike">
              <a:solidFill>
                <a:srgbClr val="C00000"/>
              </a:solidFill>
              <a:latin typeface="Aptos Narrow"/>
            </a:rPr>
            <a:pPr/>
            <a:t>Omprakash O</a:t>
          </a:fld>
          <a:endParaRPr lang="en-IN" sz="2000" b="1">
            <a:solidFill>
              <a:srgbClr val="C00000"/>
            </a:solidFill>
          </a:endParaRPr>
        </a:p>
      </xdr:txBody>
    </xdr:sp>
    <xdr:clientData/>
  </xdr:twoCellAnchor>
  <xdr:twoCellAnchor>
    <xdr:from>
      <xdr:col>23</xdr:col>
      <xdr:colOff>41759</xdr:colOff>
      <xdr:row>11</xdr:row>
      <xdr:rowOff>75156</xdr:rowOff>
    </xdr:from>
    <xdr:to>
      <xdr:col>25</xdr:col>
      <xdr:colOff>427979</xdr:colOff>
      <xdr:row>13</xdr:row>
      <xdr:rowOff>31316</xdr:rowOff>
    </xdr:to>
    <xdr:sp macro="" textlink="">
      <xdr:nvSpPr>
        <xdr:cNvPr id="50" name="TextBox 49">
          <a:extLst>
            <a:ext uri="{FF2B5EF4-FFF2-40B4-BE49-F238E27FC236}">
              <a16:creationId xmlns:a16="http://schemas.microsoft.com/office/drawing/2014/main" id="{87720F40-8DE1-43DB-A681-C4167FF81B01}"/>
            </a:ext>
          </a:extLst>
        </xdr:cNvPr>
        <xdr:cNvSpPr txBox="1"/>
      </xdr:nvSpPr>
      <xdr:spPr>
        <a:xfrm>
          <a:off x="13966526" y="2141951"/>
          <a:ext cx="1597069" cy="33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tx1">
                  <a:lumMod val="65000"/>
                  <a:lumOff val="35000"/>
                </a:schemeClr>
              </a:solidFill>
            </a:rPr>
            <a:t>Lowest</a:t>
          </a:r>
          <a:r>
            <a:rPr lang="en-IN" sz="1400" baseline="0">
              <a:solidFill>
                <a:schemeClr val="tx1">
                  <a:lumMod val="65000"/>
                  <a:lumOff val="35000"/>
                </a:schemeClr>
              </a:solidFill>
            </a:rPr>
            <a:t> Target Hit %</a:t>
          </a:r>
          <a:endParaRPr lang="en-IN" sz="1400">
            <a:solidFill>
              <a:schemeClr val="tx1">
                <a:lumMod val="65000"/>
                <a:lumOff val="35000"/>
              </a:schemeClr>
            </a:solidFill>
          </a:endParaRPr>
        </a:p>
      </xdr:txBody>
    </xdr:sp>
    <xdr:clientData/>
  </xdr:twoCellAnchor>
  <xdr:twoCellAnchor>
    <xdr:from>
      <xdr:col>7</xdr:col>
      <xdr:colOff>135699</xdr:colOff>
      <xdr:row>7</xdr:row>
      <xdr:rowOff>62630</xdr:rowOff>
    </xdr:from>
    <xdr:to>
      <xdr:col>8</xdr:col>
      <xdr:colOff>438413</xdr:colOff>
      <xdr:row>12</xdr:row>
      <xdr:rowOff>104386</xdr:rowOff>
    </xdr:to>
    <xdr:sp macro="" textlink="">
      <xdr:nvSpPr>
        <xdr:cNvPr id="54" name="Flowchart: Connector 53">
          <a:extLst>
            <a:ext uri="{FF2B5EF4-FFF2-40B4-BE49-F238E27FC236}">
              <a16:creationId xmlns:a16="http://schemas.microsoft.com/office/drawing/2014/main" id="{2301970B-FCE6-46EC-9A8A-F8610E66E4EA}"/>
            </a:ext>
          </a:extLst>
        </xdr:cNvPr>
        <xdr:cNvSpPr/>
      </xdr:nvSpPr>
      <xdr:spPr>
        <a:xfrm>
          <a:off x="4373672" y="1377863"/>
          <a:ext cx="908138" cy="981208"/>
        </a:xfrm>
        <a:prstGeom prst="flowChartConnector">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455110</xdr:colOff>
      <xdr:row>6</xdr:row>
      <xdr:rowOff>110645</xdr:rowOff>
    </xdr:from>
    <xdr:to>
      <xdr:col>9</xdr:col>
      <xdr:colOff>208766</xdr:colOff>
      <xdr:row>13</xdr:row>
      <xdr:rowOff>52548</xdr:rowOff>
    </xdr:to>
    <xdr:pic>
      <xdr:nvPicPr>
        <xdr:cNvPr id="52" name="Picture 51">
          <a:extLst>
            <a:ext uri="{FF2B5EF4-FFF2-40B4-BE49-F238E27FC236}">
              <a16:creationId xmlns:a16="http://schemas.microsoft.com/office/drawing/2014/main" id="{2C14E34E-035F-AB78-8DFE-6123CEE4B6DA}"/>
            </a:ext>
          </a:extLst>
        </xdr:cNvPr>
        <xdr:cNvPicPr>
          <a:picLocks noChangeAspect="1"/>
        </xdr:cNvPicPr>
      </xdr:nvPicPr>
      <xdr:blipFill>
        <a:blip xmlns:r="http://schemas.openxmlformats.org/officeDocument/2006/relationships" r:embed="rId4"/>
        <a:stretch>
          <a:fillRect/>
        </a:stretch>
      </xdr:blipFill>
      <xdr:spPr>
        <a:xfrm>
          <a:off x="4087658" y="1237987"/>
          <a:ext cx="1569930" cy="1257136"/>
        </a:xfrm>
        <a:prstGeom prst="rect">
          <a:avLst/>
        </a:prstGeom>
      </xdr:spPr>
    </xdr:pic>
    <xdr:clientData/>
  </xdr:twoCellAnchor>
  <xdr:twoCellAnchor>
    <xdr:from>
      <xdr:col>14</xdr:col>
      <xdr:colOff>240083</xdr:colOff>
      <xdr:row>6</xdr:row>
      <xdr:rowOff>167014</xdr:rowOff>
    </xdr:from>
    <xdr:to>
      <xdr:col>15</xdr:col>
      <xdr:colOff>542796</xdr:colOff>
      <xdr:row>12</xdr:row>
      <xdr:rowOff>20879</xdr:rowOff>
    </xdr:to>
    <xdr:sp macro="" textlink="">
      <xdr:nvSpPr>
        <xdr:cNvPr id="57" name="Flowchart: Connector 56">
          <a:extLst>
            <a:ext uri="{FF2B5EF4-FFF2-40B4-BE49-F238E27FC236}">
              <a16:creationId xmlns:a16="http://schemas.microsoft.com/office/drawing/2014/main" id="{DBB02BD2-7E12-4969-9E1A-DAE468A5C60E}"/>
            </a:ext>
          </a:extLst>
        </xdr:cNvPr>
        <xdr:cNvSpPr/>
      </xdr:nvSpPr>
      <xdr:spPr>
        <a:xfrm>
          <a:off x="8716028" y="1294356"/>
          <a:ext cx="908138" cy="981208"/>
        </a:xfrm>
        <a:prstGeom prst="flowChartConnector">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14</xdr:col>
      <xdr:colOff>125260</xdr:colOff>
      <xdr:row>6</xdr:row>
      <xdr:rowOff>98469</xdr:rowOff>
    </xdr:from>
    <xdr:to>
      <xdr:col>16</xdr:col>
      <xdr:colOff>73068</xdr:colOff>
      <xdr:row>13</xdr:row>
      <xdr:rowOff>77592</xdr:rowOff>
    </xdr:to>
    <xdr:pic>
      <xdr:nvPicPr>
        <xdr:cNvPr id="55" name="Picture 54">
          <a:extLst>
            <a:ext uri="{FF2B5EF4-FFF2-40B4-BE49-F238E27FC236}">
              <a16:creationId xmlns:a16="http://schemas.microsoft.com/office/drawing/2014/main" id="{AF12C4C8-87C4-2F37-FF14-59D5C075D915}"/>
            </a:ext>
          </a:extLst>
        </xdr:cNvPr>
        <xdr:cNvPicPr>
          <a:picLocks noChangeAspect="1"/>
        </xdr:cNvPicPr>
      </xdr:nvPicPr>
      <xdr:blipFill>
        <a:blip xmlns:r="http://schemas.openxmlformats.org/officeDocument/2006/relationships" r:embed="rId5"/>
        <a:stretch>
          <a:fillRect/>
        </a:stretch>
      </xdr:blipFill>
      <xdr:spPr>
        <a:xfrm>
          <a:off x="8659660" y="1165269"/>
          <a:ext cx="1167008" cy="1223723"/>
        </a:xfrm>
        <a:prstGeom prst="rect">
          <a:avLst/>
        </a:prstGeom>
      </xdr:spPr>
    </xdr:pic>
    <xdr:clientData/>
  </xdr:twoCellAnchor>
  <xdr:twoCellAnchor>
    <xdr:from>
      <xdr:col>21</xdr:col>
      <xdr:colOff>323588</xdr:colOff>
      <xdr:row>7</xdr:row>
      <xdr:rowOff>62630</xdr:rowOff>
    </xdr:from>
    <xdr:to>
      <xdr:col>23</xdr:col>
      <xdr:colOff>20877</xdr:colOff>
      <xdr:row>12</xdr:row>
      <xdr:rowOff>104386</xdr:rowOff>
    </xdr:to>
    <xdr:sp macro="" textlink="">
      <xdr:nvSpPr>
        <xdr:cNvPr id="60" name="Flowchart: Connector 59">
          <a:extLst>
            <a:ext uri="{FF2B5EF4-FFF2-40B4-BE49-F238E27FC236}">
              <a16:creationId xmlns:a16="http://schemas.microsoft.com/office/drawing/2014/main" id="{BDD46637-986C-4DAE-9DAE-45A83981EFE7}"/>
            </a:ext>
          </a:extLst>
        </xdr:cNvPr>
        <xdr:cNvSpPr/>
      </xdr:nvSpPr>
      <xdr:spPr>
        <a:xfrm>
          <a:off x="13037506" y="1377863"/>
          <a:ext cx="908138" cy="981208"/>
        </a:xfrm>
        <a:prstGeom prst="flowChartConnector">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21</xdr:col>
      <xdr:colOff>77419</xdr:colOff>
      <xdr:row>7</xdr:row>
      <xdr:rowOff>17432</xdr:rowOff>
    </xdr:from>
    <xdr:to>
      <xdr:col>23</xdr:col>
      <xdr:colOff>263222</xdr:colOff>
      <xdr:row>13</xdr:row>
      <xdr:rowOff>108906</xdr:rowOff>
    </xdr:to>
    <xdr:pic>
      <xdr:nvPicPr>
        <xdr:cNvPr id="59" name="Picture 58">
          <a:extLst>
            <a:ext uri="{FF2B5EF4-FFF2-40B4-BE49-F238E27FC236}">
              <a16:creationId xmlns:a16="http://schemas.microsoft.com/office/drawing/2014/main" id="{D6DF4FC3-762D-05B0-E618-6157E0C7C01D}"/>
            </a:ext>
          </a:extLst>
        </xdr:cNvPr>
        <xdr:cNvPicPr>
          <a:picLocks noChangeAspect="1"/>
        </xdr:cNvPicPr>
      </xdr:nvPicPr>
      <xdr:blipFill>
        <a:blip xmlns:r="http://schemas.openxmlformats.org/officeDocument/2006/relationships" r:embed="rId6"/>
        <a:stretch>
          <a:fillRect/>
        </a:stretch>
      </xdr:blipFill>
      <xdr:spPr>
        <a:xfrm>
          <a:off x="12879019" y="1262032"/>
          <a:ext cx="1405003" cy="1158274"/>
        </a:xfrm>
        <a:prstGeom prst="rect">
          <a:avLst/>
        </a:prstGeom>
      </xdr:spPr>
    </xdr:pic>
    <xdr:clientData/>
  </xdr:twoCellAnchor>
  <xdr:twoCellAnchor>
    <xdr:from>
      <xdr:col>0</xdr:col>
      <xdr:colOff>167013</xdr:colOff>
      <xdr:row>15</xdr:row>
      <xdr:rowOff>83507</xdr:rowOff>
    </xdr:from>
    <xdr:to>
      <xdr:col>13</xdr:col>
      <xdr:colOff>52191</xdr:colOff>
      <xdr:row>31</xdr:row>
      <xdr:rowOff>18788</xdr:rowOff>
    </xdr:to>
    <xdr:graphicFrame macro="">
      <xdr:nvGraphicFramePr>
        <xdr:cNvPr id="62" name="Chart 61">
          <a:extLst>
            <a:ext uri="{FF2B5EF4-FFF2-40B4-BE49-F238E27FC236}">
              <a16:creationId xmlns:a16="http://schemas.microsoft.com/office/drawing/2014/main" id="{2F55E536-694A-404C-8B22-8CAC636BC9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438411</xdr:colOff>
      <xdr:row>15</xdr:row>
      <xdr:rowOff>73070</xdr:rowOff>
    </xdr:from>
    <xdr:to>
      <xdr:col>26</xdr:col>
      <xdr:colOff>521918</xdr:colOff>
      <xdr:row>31</xdr:row>
      <xdr:rowOff>20877</xdr:rowOff>
    </xdr:to>
    <xdr:graphicFrame macro="">
      <xdr:nvGraphicFramePr>
        <xdr:cNvPr id="63" name="Chart 62">
          <a:extLst>
            <a:ext uri="{FF2B5EF4-FFF2-40B4-BE49-F238E27FC236}">
              <a16:creationId xmlns:a16="http://schemas.microsoft.com/office/drawing/2014/main" id="{5A6C58C5-A54D-44B0-B05D-9F9E42E5EC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438411</xdr:colOff>
      <xdr:row>15</xdr:row>
      <xdr:rowOff>73069</xdr:rowOff>
    </xdr:from>
    <xdr:to>
      <xdr:col>26</xdr:col>
      <xdr:colOff>532356</xdr:colOff>
      <xdr:row>18</xdr:row>
      <xdr:rowOff>0</xdr:rowOff>
    </xdr:to>
    <xdr:sp macro="" textlink="">
      <xdr:nvSpPr>
        <xdr:cNvPr id="64" name="Rectangle: Rounded Corners 63">
          <a:extLst>
            <a:ext uri="{FF2B5EF4-FFF2-40B4-BE49-F238E27FC236}">
              <a16:creationId xmlns:a16="http://schemas.microsoft.com/office/drawing/2014/main" id="{7C2F7B8D-12AC-5EB7-3157-F97C335AEFD5}"/>
            </a:ext>
          </a:extLst>
        </xdr:cNvPr>
        <xdr:cNvSpPr/>
      </xdr:nvSpPr>
      <xdr:spPr>
        <a:xfrm>
          <a:off x="8308932" y="2891425"/>
          <a:ext cx="7964465" cy="49060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i="1"/>
            <a:t>                                                           Target Hit % By  Top 5</a:t>
          </a:r>
          <a:r>
            <a:rPr lang="en-IN" sz="1800" b="1" i="1" baseline="0"/>
            <a:t> </a:t>
          </a:r>
          <a:r>
            <a:rPr lang="en-IN" sz="1800" b="1" i="1"/>
            <a:t>Executives</a:t>
          </a:r>
        </a:p>
      </xdr:txBody>
    </xdr:sp>
    <xdr:clientData/>
  </xdr:twoCellAnchor>
  <xdr:twoCellAnchor>
    <xdr:from>
      <xdr:col>0</xdr:col>
      <xdr:colOff>175171</xdr:colOff>
      <xdr:row>32</xdr:row>
      <xdr:rowOff>52552</xdr:rowOff>
    </xdr:from>
    <xdr:to>
      <xdr:col>8</xdr:col>
      <xdr:colOff>131379</xdr:colOff>
      <xdr:row>47</xdr:row>
      <xdr:rowOff>36786</xdr:rowOff>
    </xdr:to>
    <xdr:graphicFrame macro="">
      <xdr:nvGraphicFramePr>
        <xdr:cNvPr id="65" name="Chart 64">
          <a:extLst>
            <a:ext uri="{FF2B5EF4-FFF2-40B4-BE49-F238E27FC236}">
              <a16:creationId xmlns:a16="http://schemas.microsoft.com/office/drawing/2014/main" id="{78E168EE-331E-43AF-97EC-DDE6C8008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578068</xdr:colOff>
      <xdr:row>32</xdr:row>
      <xdr:rowOff>52552</xdr:rowOff>
    </xdr:from>
    <xdr:to>
      <xdr:col>16</xdr:col>
      <xdr:colOff>245241</xdr:colOff>
      <xdr:row>47</xdr:row>
      <xdr:rowOff>36786</xdr:rowOff>
    </xdr:to>
    <xdr:graphicFrame macro="">
      <xdr:nvGraphicFramePr>
        <xdr:cNvPr id="66" name="Chart 65">
          <a:extLst>
            <a:ext uri="{FF2B5EF4-FFF2-40B4-BE49-F238E27FC236}">
              <a16:creationId xmlns:a16="http://schemas.microsoft.com/office/drawing/2014/main" id="{6C59E184-0131-45D0-9250-66AC859C0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361729</xdr:colOff>
      <xdr:row>32</xdr:row>
      <xdr:rowOff>55178</xdr:rowOff>
    </xdr:from>
    <xdr:to>
      <xdr:col>26</xdr:col>
      <xdr:colOff>490481</xdr:colOff>
      <xdr:row>46</xdr:row>
      <xdr:rowOff>166412</xdr:rowOff>
    </xdr:to>
    <xdr:sp macro="" textlink="">
      <xdr:nvSpPr>
        <xdr:cNvPr id="67" name="TextBox 66">
          <a:extLst>
            <a:ext uri="{FF2B5EF4-FFF2-40B4-BE49-F238E27FC236}">
              <a16:creationId xmlns:a16="http://schemas.microsoft.com/office/drawing/2014/main" id="{C2120F7D-2E1A-8545-ABA7-AFE589AB9DC9}"/>
            </a:ext>
          </a:extLst>
        </xdr:cNvPr>
        <xdr:cNvSpPr txBox="1"/>
      </xdr:nvSpPr>
      <xdr:spPr>
        <a:xfrm>
          <a:off x="10784488" y="5940971"/>
          <a:ext cx="5646683" cy="26862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p>
      </xdr:txBody>
    </xdr:sp>
    <xdr:clientData/>
  </xdr:twoCellAnchor>
  <xdr:twoCellAnchor>
    <xdr:from>
      <xdr:col>17</xdr:col>
      <xdr:colOff>359103</xdr:colOff>
      <xdr:row>32</xdr:row>
      <xdr:rowOff>35035</xdr:rowOff>
    </xdr:from>
    <xdr:to>
      <xdr:col>26</xdr:col>
      <xdr:colOff>508000</xdr:colOff>
      <xdr:row>34</xdr:row>
      <xdr:rowOff>87586</xdr:rowOff>
    </xdr:to>
    <xdr:sp macro="" textlink="">
      <xdr:nvSpPr>
        <xdr:cNvPr id="68" name="Rectangle: Rounded Corners 67">
          <a:extLst>
            <a:ext uri="{FF2B5EF4-FFF2-40B4-BE49-F238E27FC236}">
              <a16:creationId xmlns:a16="http://schemas.microsoft.com/office/drawing/2014/main" id="{43BED903-62A6-7DC8-C9D2-694B94BE188C}"/>
            </a:ext>
          </a:extLst>
        </xdr:cNvPr>
        <xdr:cNvSpPr/>
      </xdr:nvSpPr>
      <xdr:spPr>
        <a:xfrm>
          <a:off x="10781862" y="5920828"/>
          <a:ext cx="5666828" cy="42041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600"/>
            <a:t>Key Insights</a:t>
          </a:r>
          <a:r>
            <a:rPr lang="en-IN" sz="1100"/>
            <a:t> </a:t>
          </a:r>
        </a:p>
      </xdr:txBody>
    </xdr:sp>
    <xdr:clientData/>
  </xdr:twoCellAnchor>
  <xdr:twoCellAnchor>
    <xdr:from>
      <xdr:col>17</xdr:col>
      <xdr:colOff>464206</xdr:colOff>
      <xdr:row>35</xdr:row>
      <xdr:rowOff>1</xdr:rowOff>
    </xdr:from>
    <xdr:to>
      <xdr:col>26</xdr:col>
      <xdr:colOff>385379</xdr:colOff>
      <xdr:row>46</xdr:row>
      <xdr:rowOff>70068</xdr:rowOff>
    </xdr:to>
    <xdr:sp macro="" textlink="">
      <xdr:nvSpPr>
        <xdr:cNvPr id="69" name="TextBox 68">
          <a:extLst>
            <a:ext uri="{FF2B5EF4-FFF2-40B4-BE49-F238E27FC236}">
              <a16:creationId xmlns:a16="http://schemas.microsoft.com/office/drawing/2014/main" id="{88B10BDF-9A0C-23D3-1456-8BE7B65FC27D}"/>
            </a:ext>
          </a:extLst>
        </xdr:cNvPr>
        <xdr:cNvSpPr txBox="1"/>
      </xdr:nvSpPr>
      <xdr:spPr>
        <a:xfrm>
          <a:off x="10886965" y="6437587"/>
          <a:ext cx="5439104" cy="20933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p>
        <a:p>
          <a:r>
            <a:rPr lang="en-IN" sz="1100"/>
            <a:t>                  </a:t>
          </a:r>
          <a:r>
            <a:rPr lang="en-IN" sz="1100" b="1"/>
            <a:t>  </a:t>
          </a:r>
          <a:r>
            <a:rPr lang="en-IN" sz="1400" b="1"/>
            <a:t>Jagdish Chandra has</a:t>
          </a:r>
          <a:r>
            <a:rPr lang="en-IN" sz="1400" b="1" baseline="0"/>
            <a:t> Highest Total sales of 389.</a:t>
          </a:r>
        </a:p>
        <a:p>
          <a:endParaRPr lang="en-IN" sz="1400" b="1" baseline="0"/>
        </a:p>
        <a:p>
          <a:r>
            <a:rPr lang="en-IN" sz="1400" b="1" baseline="0"/>
            <a:t>                 Omprakash O is farthest from target with 71.40%.</a:t>
          </a:r>
        </a:p>
        <a:p>
          <a:endParaRPr lang="en-IN" sz="1400" b="1" baseline="0"/>
        </a:p>
        <a:p>
          <a:r>
            <a:rPr lang="en-IN" sz="1400" b="1" baseline="0"/>
            <a:t>                  Average Target Achievement  across  executives is  55.24%</a:t>
          </a:r>
        </a:p>
        <a:p>
          <a:endParaRPr lang="en-IN" sz="1400" b="1"/>
        </a:p>
        <a:p>
          <a:r>
            <a:rPr lang="en-IN" sz="1400" b="1" baseline="0"/>
            <a:t>                   Focus on the Executives with Hight gap from the target to                              	improve Overall performance</a:t>
          </a:r>
          <a:endParaRPr lang="en-IN" sz="1400" b="1"/>
        </a:p>
      </xdr:txBody>
    </xdr:sp>
    <xdr:clientData/>
  </xdr:twoCellAnchor>
  <xdr:twoCellAnchor editAs="oneCell">
    <xdr:from>
      <xdr:col>20</xdr:col>
      <xdr:colOff>8757</xdr:colOff>
      <xdr:row>31</xdr:row>
      <xdr:rowOff>122622</xdr:rowOff>
    </xdr:from>
    <xdr:to>
      <xdr:col>21</xdr:col>
      <xdr:colOff>192689</xdr:colOff>
      <xdr:row>35</xdr:row>
      <xdr:rowOff>8760</xdr:rowOff>
    </xdr:to>
    <xdr:pic>
      <xdr:nvPicPr>
        <xdr:cNvPr id="70" name="Picture 69">
          <a:extLst>
            <a:ext uri="{FF2B5EF4-FFF2-40B4-BE49-F238E27FC236}">
              <a16:creationId xmlns:a16="http://schemas.microsoft.com/office/drawing/2014/main" id="{561D7793-6124-8DF2-874C-B2FC1C7F75DD}"/>
            </a:ext>
          </a:extLst>
        </xdr:cNvPr>
        <xdr:cNvPicPr>
          <a:picLocks noChangeAspect="1"/>
        </xdr:cNvPicPr>
      </xdr:nvPicPr>
      <xdr:blipFill>
        <a:blip xmlns:r="http://schemas.openxmlformats.org/officeDocument/2006/relationships" r:embed="rId11"/>
        <a:stretch>
          <a:fillRect/>
        </a:stretch>
      </xdr:blipFill>
      <xdr:spPr>
        <a:xfrm>
          <a:off x="12270826" y="5824484"/>
          <a:ext cx="797035" cy="621862"/>
        </a:xfrm>
        <a:prstGeom prst="rect">
          <a:avLst/>
        </a:prstGeom>
      </xdr:spPr>
    </xdr:pic>
    <xdr:clientData/>
  </xdr:twoCellAnchor>
  <xdr:twoCellAnchor>
    <xdr:from>
      <xdr:col>17</xdr:col>
      <xdr:colOff>569760</xdr:colOff>
      <xdr:row>35</xdr:row>
      <xdr:rowOff>149269</xdr:rowOff>
    </xdr:from>
    <xdr:to>
      <xdr:col>18</xdr:col>
      <xdr:colOff>328221</xdr:colOff>
      <xdr:row>37</xdr:row>
      <xdr:rowOff>165100</xdr:rowOff>
    </xdr:to>
    <xdr:sp macro="" textlink="">
      <xdr:nvSpPr>
        <xdr:cNvPr id="72" name="Flowchart: Connector 71">
          <a:extLst>
            <a:ext uri="{FF2B5EF4-FFF2-40B4-BE49-F238E27FC236}">
              <a16:creationId xmlns:a16="http://schemas.microsoft.com/office/drawing/2014/main" id="{33E19D70-FCD5-4E93-8F99-2A09D0970EE1}"/>
            </a:ext>
          </a:extLst>
        </xdr:cNvPr>
        <xdr:cNvSpPr/>
      </xdr:nvSpPr>
      <xdr:spPr>
        <a:xfrm>
          <a:off x="10932960" y="6372269"/>
          <a:ext cx="368061" cy="371431"/>
        </a:xfrm>
        <a:prstGeom prst="flowChartConnector">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472965</xdr:colOff>
      <xdr:row>35</xdr:row>
      <xdr:rowOff>49488</xdr:rowOff>
    </xdr:from>
    <xdr:to>
      <xdr:col>18</xdr:col>
      <xdr:colOff>458074</xdr:colOff>
      <xdr:row>38</xdr:row>
      <xdr:rowOff>139700</xdr:rowOff>
    </xdr:to>
    <xdr:pic>
      <xdr:nvPicPr>
        <xdr:cNvPr id="71" name="Picture 70">
          <a:extLst>
            <a:ext uri="{FF2B5EF4-FFF2-40B4-BE49-F238E27FC236}">
              <a16:creationId xmlns:a16="http://schemas.microsoft.com/office/drawing/2014/main" id="{4285E9F6-7423-45ED-8A9F-ACCEDC7D5652}"/>
            </a:ext>
          </a:extLst>
        </xdr:cNvPr>
        <xdr:cNvPicPr>
          <a:picLocks noChangeAspect="1"/>
        </xdr:cNvPicPr>
      </xdr:nvPicPr>
      <xdr:blipFill>
        <a:blip xmlns:r="http://schemas.openxmlformats.org/officeDocument/2006/relationships" r:embed="rId5"/>
        <a:stretch>
          <a:fillRect/>
        </a:stretch>
      </xdr:blipFill>
      <xdr:spPr>
        <a:xfrm>
          <a:off x="10836165" y="6272488"/>
          <a:ext cx="594709" cy="623612"/>
        </a:xfrm>
        <a:prstGeom prst="rect">
          <a:avLst/>
        </a:prstGeom>
      </xdr:spPr>
    </xdr:pic>
    <xdr:clientData/>
  </xdr:twoCellAnchor>
  <xdr:twoCellAnchor>
    <xdr:from>
      <xdr:col>17</xdr:col>
      <xdr:colOff>533401</xdr:colOff>
      <xdr:row>38</xdr:row>
      <xdr:rowOff>38100</xdr:rowOff>
    </xdr:from>
    <xdr:to>
      <xdr:col>18</xdr:col>
      <xdr:colOff>368301</xdr:colOff>
      <xdr:row>40</xdr:row>
      <xdr:rowOff>88900</xdr:rowOff>
    </xdr:to>
    <xdr:sp macro="" textlink="">
      <xdr:nvSpPr>
        <xdr:cNvPr id="73" name="Flowchart: Connector 72">
          <a:extLst>
            <a:ext uri="{FF2B5EF4-FFF2-40B4-BE49-F238E27FC236}">
              <a16:creationId xmlns:a16="http://schemas.microsoft.com/office/drawing/2014/main" id="{E46CC765-61DD-4000-82C4-0BEFA40405A6}"/>
            </a:ext>
          </a:extLst>
        </xdr:cNvPr>
        <xdr:cNvSpPr/>
      </xdr:nvSpPr>
      <xdr:spPr>
        <a:xfrm>
          <a:off x="10896601" y="6794500"/>
          <a:ext cx="444500" cy="406400"/>
        </a:xfrm>
        <a:prstGeom prst="flowChartConnector">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531314</xdr:colOff>
      <xdr:row>40</xdr:row>
      <xdr:rowOff>171366</xdr:rowOff>
    </xdr:from>
    <xdr:to>
      <xdr:col>18</xdr:col>
      <xdr:colOff>406400</xdr:colOff>
      <xdr:row>43</xdr:row>
      <xdr:rowOff>38100</xdr:rowOff>
    </xdr:to>
    <xdr:sp macro="" textlink="">
      <xdr:nvSpPr>
        <xdr:cNvPr id="75" name="Flowchart: Connector 74">
          <a:extLst>
            <a:ext uri="{FF2B5EF4-FFF2-40B4-BE49-F238E27FC236}">
              <a16:creationId xmlns:a16="http://schemas.microsoft.com/office/drawing/2014/main" id="{128C1DA0-84A7-46F6-8A11-6CC7755EEAD3}"/>
            </a:ext>
          </a:extLst>
        </xdr:cNvPr>
        <xdr:cNvSpPr/>
      </xdr:nvSpPr>
      <xdr:spPr>
        <a:xfrm>
          <a:off x="10894514" y="7283366"/>
          <a:ext cx="484686" cy="400134"/>
        </a:xfrm>
        <a:prstGeom prst="flowChartConnector">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419100</xdr:colOff>
      <xdr:row>37</xdr:row>
      <xdr:rowOff>114300</xdr:rowOff>
    </xdr:from>
    <xdr:to>
      <xdr:col>18</xdr:col>
      <xdr:colOff>469899</xdr:colOff>
      <xdr:row>40</xdr:row>
      <xdr:rowOff>140984</xdr:rowOff>
    </xdr:to>
    <xdr:pic>
      <xdr:nvPicPr>
        <xdr:cNvPr id="74" name="Picture 73">
          <a:extLst>
            <a:ext uri="{FF2B5EF4-FFF2-40B4-BE49-F238E27FC236}">
              <a16:creationId xmlns:a16="http://schemas.microsoft.com/office/drawing/2014/main" id="{9D1575E0-A2E3-D564-A9DE-F23B9DCF6E62}"/>
            </a:ext>
          </a:extLst>
        </xdr:cNvPr>
        <xdr:cNvPicPr>
          <a:picLocks noChangeAspect="1"/>
        </xdr:cNvPicPr>
      </xdr:nvPicPr>
      <xdr:blipFill>
        <a:blip xmlns:r="http://schemas.openxmlformats.org/officeDocument/2006/relationships" r:embed="rId12"/>
        <a:stretch>
          <a:fillRect/>
        </a:stretch>
      </xdr:blipFill>
      <xdr:spPr>
        <a:xfrm>
          <a:off x="10782300" y="6692900"/>
          <a:ext cx="660399" cy="560084"/>
        </a:xfrm>
        <a:prstGeom prst="rect">
          <a:avLst/>
        </a:prstGeom>
      </xdr:spPr>
    </xdr:pic>
    <xdr:clientData/>
  </xdr:twoCellAnchor>
  <xdr:twoCellAnchor editAs="oneCell">
    <xdr:from>
      <xdr:col>17</xdr:col>
      <xdr:colOff>417014</xdr:colOff>
      <xdr:row>40</xdr:row>
      <xdr:rowOff>95167</xdr:rowOff>
    </xdr:from>
    <xdr:to>
      <xdr:col>18</xdr:col>
      <xdr:colOff>508000</xdr:colOff>
      <xdr:row>43</xdr:row>
      <xdr:rowOff>152401</xdr:rowOff>
    </xdr:to>
    <xdr:pic>
      <xdr:nvPicPr>
        <xdr:cNvPr id="76" name="Picture 75">
          <a:extLst>
            <a:ext uri="{FF2B5EF4-FFF2-40B4-BE49-F238E27FC236}">
              <a16:creationId xmlns:a16="http://schemas.microsoft.com/office/drawing/2014/main" id="{AF5889FF-0BA3-874E-4911-7CE47D22530B}"/>
            </a:ext>
          </a:extLst>
        </xdr:cNvPr>
        <xdr:cNvPicPr>
          <a:picLocks noChangeAspect="1"/>
        </xdr:cNvPicPr>
      </xdr:nvPicPr>
      <xdr:blipFill>
        <a:blip xmlns:r="http://schemas.openxmlformats.org/officeDocument/2006/relationships" r:embed="rId13"/>
        <a:stretch>
          <a:fillRect/>
        </a:stretch>
      </xdr:blipFill>
      <xdr:spPr>
        <a:xfrm>
          <a:off x="10780214" y="7207167"/>
          <a:ext cx="700586" cy="590634"/>
        </a:xfrm>
        <a:prstGeom prst="rect">
          <a:avLst/>
        </a:prstGeom>
      </xdr:spPr>
    </xdr:pic>
    <xdr:clientData/>
  </xdr:twoCellAnchor>
  <xdr:twoCellAnchor>
    <xdr:from>
      <xdr:col>17</xdr:col>
      <xdr:colOff>549166</xdr:colOff>
      <xdr:row>43</xdr:row>
      <xdr:rowOff>49487</xdr:rowOff>
    </xdr:from>
    <xdr:to>
      <xdr:col>18</xdr:col>
      <xdr:colOff>381335</xdr:colOff>
      <xdr:row>45</xdr:row>
      <xdr:rowOff>139700</xdr:rowOff>
    </xdr:to>
    <xdr:sp macro="" textlink="">
      <xdr:nvSpPr>
        <xdr:cNvPr id="77" name="Flowchart: Connector 76">
          <a:extLst>
            <a:ext uri="{FF2B5EF4-FFF2-40B4-BE49-F238E27FC236}">
              <a16:creationId xmlns:a16="http://schemas.microsoft.com/office/drawing/2014/main" id="{83CEEACA-7BAC-4838-822D-A073A7C9B075}"/>
            </a:ext>
          </a:extLst>
        </xdr:cNvPr>
        <xdr:cNvSpPr/>
      </xdr:nvSpPr>
      <xdr:spPr>
        <a:xfrm>
          <a:off x="10912366" y="7694887"/>
          <a:ext cx="441769" cy="445813"/>
        </a:xfrm>
        <a:prstGeom prst="flowChartConnector">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371366</xdr:colOff>
      <xdr:row>42</xdr:row>
      <xdr:rowOff>151087</xdr:rowOff>
    </xdr:from>
    <xdr:to>
      <xdr:col>18</xdr:col>
      <xdr:colOff>551871</xdr:colOff>
      <xdr:row>46</xdr:row>
      <xdr:rowOff>101600</xdr:rowOff>
    </xdr:to>
    <xdr:pic>
      <xdr:nvPicPr>
        <xdr:cNvPr id="79" name="Picture 78">
          <a:extLst>
            <a:ext uri="{FF2B5EF4-FFF2-40B4-BE49-F238E27FC236}">
              <a16:creationId xmlns:a16="http://schemas.microsoft.com/office/drawing/2014/main" id="{E3A3E1F3-A161-52EA-C5F3-37A1716645C1}"/>
            </a:ext>
          </a:extLst>
        </xdr:cNvPr>
        <xdr:cNvPicPr>
          <a:picLocks noChangeAspect="1"/>
        </xdr:cNvPicPr>
      </xdr:nvPicPr>
      <xdr:blipFill>
        <a:blip xmlns:r="http://schemas.openxmlformats.org/officeDocument/2006/relationships" r:embed="rId14"/>
        <a:stretch>
          <a:fillRect/>
        </a:stretch>
      </xdr:blipFill>
      <xdr:spPr>
        <a:xfrm>
          <a:off x="10734566" y="7618687"/>
          <a:ext cx="790105" cy="661713"/>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1</cdr:x>
      <cdr:y>0.17504</cdr:y>
    </cdr:to>
    <cdr:sp macro="" textlink="">
      <cdr:nvSpPr>
        <cdr:cNvPr id="2" name="Rectangle: Rounded Corners 1">
          <a:extLst xmlns:a="http://schemas.openxmlformats.org/drawingml/2006/main">
            <a:ext uri="{FF2B5EF4-FFF2-40B4-BE49-F238E27FC236}">
              <a16:creationId xmlns:a16="http://schemas.microsoft.com/office/drawing/2014/main" id="{EA2D6E22-C353-E30E-5683-F829AD8BD1A1}"/>
            </a:ext>
          </a:extLst>
        </cdr:cNvPr>
        <cdr:cNvSpPr/>
      </cdr:nvSpPr>
      <cdr:spPr>
        <a:xfrm xmlns:a="http://schemas.openxmlformats.org/drawingml/2006/main">
          <a:off x="0" y="0"/>
          <a:ext cx="5836920" cy="480165"/>
        </a:xfrm>
        <a:prstGeom xmlns:a="http://schemas.openxmlformats.org/drawingml/2006/main" prst="round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sz="1800" b="1" kern="1200"/>
            <a:t>                               </a:t>
          </a:r>
          <a:r>
            <a:rPr lang="en-IN" sz="1800" b="1" i="1" kern="1200"/>
            <a:t>  Total Sales</a:t>
          </a:r>
          <a:r>
            <a:rPr lang="en-IN" sz="1800" b="1" i="1" kern="1200" baseline="0"/>
            <a:t> By Top 5 Sales Executives</a:t>
          </a:r>
          <a:endParaRPr lang="en-IN" sz="1800" b="1" i="1" kern="1200"/>
        </a:p>
      </cdr:txBody>
    </cdr:sp>
  </cdr:relSizeAnchor>
</c:userShapes>
</file>

<file path=xl/drawings/drawing3.xml><?xml version="1.0" encoding="utf-8"?>
<c:userShapes xmlns:c="http://schemas.openxmlformats.org/drawingml/2006/chart">
  <cdr:relSizeAnchor xmlns:cdr="http://schemas.openxmlformats.org/drawingml/2006/chartDrawing">
    <cdr:from>
      <cdr:x>0</cdr:x>
      <cdr:y>0</cdr:y>
    </cdr:from>
    <cdr:to>
      <cdr:x>1</cdr:x>
      <cdr:y>0.15006</cdr:y>
    </cdr:to>
    <cdr:sp macro="" textlink="">
      <cdr:nvSpPr>
        <cdr:cNvPr id="2" name="Rectangle: Rounded Corners 1">
          <a:extLst xmlns:a="http://schemas.openxmlformats.org/drawingml/2006/main">
            <a:ext uri="{FF2B5EF4-FFF2-40B4-BE49-F238E27FC236}">
              <a16:creationId xmlns:a16="http://schemas.microsoft.com/office/drawing/2014/main" id="{975672AF-3620-67D7-859C-E22D3ED86487}"/>
            </a:ext>
          </a:extLst>
        </cdr:cNvPr>
        <cdr:cNvSpPr/>
      </cdr:nvSpPr>
      <cdr:spPr>
        <a:xfrm xmlns:a="http://schemas.openxmlformats.org/drawingml/2006/main">
          <a:off x="1" y="-1"/>
          <a:ext cx="4580758" cy="411656"/>
        </a:xfrm>
        <a:prstGeom xmlns:a="http://schemas.openxmlformats.org/drawingml/2006/main" prst="round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sz="1600" b="1" i="1" kern="1200"/>
            <a:t>             Bottom 5 Executives Away from Target %</a:t>
          </a:r>
        </a:p>
      </cdr:txBody>
    </cdr:sp>
  </cdr:relSizeAnchor>
</c:userShapes>
</file>

<file path=xl/drawings/drawing4.xml><?xml version="1.0" encoding="utf-8"?>
<c:userShapes xmlns:c="http://schemas.openxmlformats.org/drawingml/2006/chart">
  <cdr:relSizeAnchor xmlns:cdr="http://schemas.openxmlformats.org/drawingml/2006/chartDrawing">
    <cdr:from>
      <cdr:x>0</cdr:x>
      <cdr:y>0</cdr:y>
    </cdr:from>
    <cdr:to>
      <cdr:x>1</cdr:x>
      <cdr:y>0.14049</cdr:y>
    </cdr:to>
    <cdr:sp macro="" textlink="">
      <cdr:nvSpPr>
        <cdr:cNvPr id="2" name="Rectangle: Rounded Corners 1">
          <a:extLst xmlns:a="http://schemas.openxmlformats.org/drawingml/2006/main">
            <a:ext uri="{FF2B5EF4-FFF2-40B4-BE49-F238E27FC236}">
              <a16:creationId xmlns:a16="http://schemas.microsoft.com/office/drawing/2014/main" id="{52CD834E-476D-0433-B8F0-8BDF6C6C0E76}"/>
            </a:ext>
          </a:extLst>
        </cdr:cNvPr>
        <cdr:cNvSpPr/>
      </cdr:nvSpPr>
      <cdr:spPr>
        <a:xfrm xmlns:a="http://schemas.openxmlformats.org/drawingml/2006/main">
          <a:off x="0" y="0"/>
          <a:ext cx="4572000" cy="385379"/>
        </a:xfrm>
        <a:prstGeom xmlns:a="http://schemas.openxmlformats.org/drawingml/2006/main" prst="round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marL="0" indent="0"/>
          <a:r>
            <a:rPr lang="en-IN" sz="1600" b="1" i="1" kern="1200">
              <a:solidFill>
                <a:schemeClr val="lt1"/>
              </a:solidFill>
              <a:latin typeface="+mn-lt"/>
              <a:ea typeface="+mn-ea"/>
              <a:cs typeface="+mn-cs"/>
            </a:rPr>
            <a:t>           Total Sales By  Bottom % Sales Executives</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91440</xdr:colOff>
      <xdr:row>12</xdr:row>
      <xdr:rowOff>53340</xdr:rowOff>
    </xdr:from>
    <xdr:to>
      <xdr:col>6</xdr:col>
      <xdr:colOff>403860</xdr:colOff>
      <xdr:row>27</xdr:row>
      <xdr:rowOff>53340</xdr:rowOff>
    </xdr:to>
    <xdr:graphicFrame macro="">
      <xdr:nvGraphicFramePr>
        <xdr:cNvPr id="2" name="Chart 1">
          <a:extLst>
            <a:ext uri="{FF2B5EF4-FFF2-40B4-BE49-F238E27FC236}">
              <a16:creationId xmlns:a16="http://schemas.microsoft.com/office/drawing/2014/main" id="{E0E3E28D-EC4B-B7A4-2A56-FED774F21C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144780</xdr:colOff>
      <xdr:row>12</xdr:row>
      <xdr:rowOff>167640</xdr:rowOff>
    </xdr:from>
    <xdr:to>
      <xdr:col>22</xdr:col>
      <xdr:colOff>137160</xdr:colOff>
      <xdr:row>27</xdr:row>
      <xdr:rowOff>167640</xdr:rowOff>
    </xdr:to>
    <xdr:graphicFrame macro="">
      <xdr:nvGraphicFramePr>
        <xdr:cNvPr id="5" name="Chart 4">
          <a:extLst>
            <a:ext uri="{FF2B5EF4-FFF2-40B4-BE49-F238E27FC236}">
              <a16:creationId xmlns:a16="http://schemas.microsoft.com/office/drawing/2014/main" id="{CA76123F-BFA0-648C-A6D7-0486D97CF7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129540</xdr:colOff>
      <xdr:row>13</xdr:row>
      <xdr:rowOff>15240</xdr:rowOff>
    </xdr:from>
    <xdr:to>
      <xdr:col>15</xdr:col>
      <xdr:colOff>441960</xdr:colOff>
      <xdr:row>28</xdr:row>
      <xdr:rowOff>15240</xdr:rowOff>
    </xdr:to>
    <xdr:graphicFrame macro="">
      <xdr:nvGraphicFramePr>
        <xdr:cNvPr id="6" name="Chart 5">
          <a:extLst>
            <a:ext uri="{FF2B5EF4-FFF2-40B4-BE49-F238E27FC236}">
              <a16:creationId xmlns:a16="http://schemas.microsoft.com/office/drawing/2014/main" id="{B8BF4968-A43E-55F0-E30A-A42E46BCE1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91440</xdr:colOff>
      <xdr:row>13</xdr:row>
      <xdr:rowOff>121920</xdr:rowOff>
    </xdr:from>
    <xdr:to>
      <xdr:col>29</xdr:col>
      <xdr:colOff>274320</xdr:colOff>
      <xdr:row>28</xdr:row>
      <xdr:rowOff>121920</xdr:rowOff>
    </xdr:to>
    <xdr:graphicFrame macro="">
      <xdr:nvGraphicFramePr>
        <xdr:cNvPr id="7" name="Chart 6">
          <a:extLst>
            <a:ext uri="{FF2B5EF4-FFF2-40B4-BE49-F238E27FC236}">
              <a16:creationId xmlns:a16="http://schemas.microsoft.com/office/drawing/2014/main" id="{6A638150-D43E-8009-EEBC-A8224B837F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5:00:20.311"/>
    </inkml:context>
    <inkml:brush xml:id="br0">
      <inkml:brushProperty name="width" value="0.035" units="cm"/>
      <inkml:brushProperty name="height" value="0.035" units="cm"/>
      <inkml:brushProperty name="color" value="#004F8B"/>
    </inkml:brush>
  </inkml:definitions>
  <inkml:trace contextRef="#ctx0" brushRef="#br0">1 0 24575,'0'0'-8191</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ay" refreshedDate="46146.970025925926" createdVersion="8" refreshedVersion="8" minRefreshableVersion="3" recordCount="141" xr:uid="{E4BF8873-92E4-4181-BCEF-0AA5EF3509FB}">
  <cacheSource type="worksheet">
    <worksheetSource name="Raw_data"/>
  </cacheSource>
  <cacheFields count="12">
    <cacheField name="Emp Code" numFmtId="14">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199999999999998" maxValue="0.71399999999999997"/>
    </cacheField>
  </cacheFields>
  <extLst>
    <ext xmlns:x14="http://schemas.microsoft.com/office/spreadsheetml/2009/9/main" uri="{725AE2AE-9491-48be-B2B4-4EB974FC3084}">
      <x14:pivotCacheDefinition pivotCacheId="9913417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x v="0"/>
    <n v="49"/>
    <n v="84"/>
    <n v="98"/>
    <n v="67"/>
    <n v="41"/>
    <n v="339"/>
    <n v="500"/>
    <n v="0.67800000000000005"/>
    <n v="0.32199999999999995"/>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400000000000004"/>
  </r>
  <r>
    <s v="Mum-TCL005"/>
    <x v="4"/>
    <x v="4"/>
    <n v="35"/>
    <n v="54"/>
    <n v="49"/>
    <n v="26"/>
    <n v="49"/>
    <n v="213"/>
    <n v="500"/>
    <n v="0.42599999999999999"/>
    <n v="0.57400000000000007"/>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000000000000005"/>
  </r>
  <r>
    <s v="Mum-TCL009"/>
    <x v="8"/>
    <x v="0"/>
    <n v="54"/>
    <n v="26"/>
    <n v="53"/>
    <n v="36"/>
    <n v="20"/>
    <n v="189"/>
    <n v="500"/>
    <n v="0.378"/>
    <n v="0.622"/>
  </r>
  <r>
    <s v="Mum-TCL010"/>
    <x v="9"/>
    <x v="1"/>
    <n v="52"/>
    <n v="52"/>
    <n v="19"/>
    <n v="53"/>
    <n v="37"/>
    <n v="213"/>
    <n v="500"/>
    <n v="0.42599999999999999"/>
    <n v="0.57400000000000007"/>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599999999999997"/>
  </r>
  <r>
    <s v="Mum-TCL014"/>
    <x v="13"/>
    <x v="5"/>
    <n v="83"/>
    <n v="77"/>
    <n v="66"/>
    <n v="22"/>
    <n v="40"/>
    <n v="288"/>
    <n v="500"/>
    <n v="0.57599999999999996"/>
    <n v="0.42400000000000004"/>
  </r>
  <r>
    <s v="Mum-TCL015"/>
    <x v="14"/>
    <x v="6"/>
    <n v="78"/>
    <n v="58"/>
    <n v="34"/>
    <n v="84"/>
    <n v="31"/>
    <n v="285"/>
    <n v="500"/>
    <n v="0.56999999999999995"/>
    <n v="0.43000000000000005"/>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800000000000004"/>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00000000000006"/>
  </r>
  <r>
    <s v="Mum-TCL026"/>
    <x v="25"/>
    <x v="1"/>
    <n v="16"/>
    <n v="71"/>
    <n v="80"/>
    <n v="76"/>
    <n v="33"/>
    <n v="276"/>
    <n v="500"/>
    <n v="0.55200000000000005"/>
    <n v="0.44799999999999995"/>
  </r>
  <r>
    <s v="Mum-TCL027"/>
    <x v="26"/>
    <x v="2"/>
    <n v="72"/>
    <n v="87"/>
    <n v="92"/>
    <n v="72"/>
    <n v="34"/>
    <n v="357"/>
    <n v="500"/>
    <n v="0.71399999999999997"/>
    <n v="0.28600000000000003"/>
  </r>
  <r>
    <s v="Mum-TCL028"/>
    <x v="27"/>
    <x v="3"/>
    <n v="30"/>
    <n v="38"/>
    <n v="70"/>
    <n v="89"/>
    <n v="97"/>
    <n v="324"/>
    <n v="500"/>
    <n v="0.64800000000000002"/>
    <n v="0.35199999999999998"/>
  </r>
  <r>
    <s v="Mum-TCL029"/>
    <x v="28"/>
    <x v="4"/>
    <n v="65"/>
    <n v="90"/>
    <n v="91"/>
    <n v="85"/>
    <n v="10"/>
    <n v="341"/>
    <n v="500"/>
    <n v="0.68200000000000005"/>
    <n v="0.31799999999999995"/>
  </r>
  <r>
    <s v="Mum-TCL030"/>
    <x v="29"/>
    <x v="5"/>
    <n v="83"/>
    <n v="46"/>
    <n v="99"/>
    <n v="36"/>
    <n v="89"/>
    <n v="353"/>
    <n v="500"/>
    <n v="0.70599999999999996"/>
    <n v="0.29400000000000004"/>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599999999999997"/>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200000000000006"/>
  </r>
  <r>
    <s v="Mum-TCL037"/>
    <x v="36"/>
    <x v="4"/>
    <n v="91"/>
    <n v="13"/>
    <n v="79"/>
    <n v="85"/>
    <n v="67"/>
    <n v="335"/>
    <n v="500"/>
    <n v="0.67"/>
    <n v="0.32999999999999996"/>
  </r>
  <r>
    <s v="Mum-TCL038"/>
    <x v="37"/>
    <x v="5"/>
    <n v="66"/>
    <n v="59"/>
    <n v="25"/>
    <n v="55"/>
    <n v="59"/>
    <n v="264"/>
    <n v="500"/>
    <n v="0.52800000000000002"/>
    <n v="0.47199999999999998"/>
  </r>
  <r>
    <s v="Mum-TCL039"/>
    <x v="38"/>
    <x v="6"/>
    <n v="70"/>
    <n v="18"/>
    <n v="88"/>
    <n v="46"/>
    <n v="52"/>
    <n v="274"/>
    <n v="500"/>
    <n v="0.54800000000000004"/>
    <n v="0.45199999999999996"/>
  </r>
  <r>
    <s v="Mum-TCL040"/>
    <x v="39"/>
    <x v="7"/>
    <n v="37"/>
    <n v="60"/>
    <n v="44"/>
    <n v="61"/>
    <n v="30"/>
    <n v="232"/>
    <n v="500"/>
    <n v="0.46400000000000002"/>
    <n v="0.53600000000000003"/>
  </r>
  <r>
    <s v="Mum-TCL041"/>
    <x v="40"/>
    <x v="0"/>
    <n v="16"/>
    <n v="46"/>
    <n v="33"/>
    <n v="54"/>
    <n v="58"/>
    <n v="207"/>
    <n v="500"/>
    <n v="0.41399999999999998"/>
    <n v="0.58600000000000008"/>
  </r>
  <r>
    <s v="Mum-TCL042"/>
    <x v="41"/>
    <x v="1"/>
    <n v="47"/>
    <n v="97"/>
    <n v="74"/>
    <n v="97"/>
    <n v="56"/>
    <n v="371"/>
    <n v="500"/>
    <n v="0.74199999999999999"/>
    <n v="0.25800000000000001"/>
  </r>
  <r>
    <s v="Mum-TCL043"/>
    <x v="42"/>
    <x v="2"/>
    <n v="86"/>
    <n v="22"/>
    <n v="10"/>
    <n v="60"/>
    <n v="28"/>
    <n v="206"/>
    <n v="500"/>
    <n v="0.41199999999999998"/>
    <n v="0.58800000000000008"/>
  </r>
  <r>
    <s v="Mum-TCL044"/>
    <x v="43"/>
    <x v="3"/>
    <n v="74"/>
    <n v="17"/>
    <n v="45"/>
    <n v="64"/>
    <n v="13"/>
    <n v="213"/>
    <n v="500"/>
    <n v="0.42599999999999999"/>
    <n v="0.57400000000000007"/>
  </r>
  <r>
    <s v="Mum-TCL045"/>
    <x v="44"/>
    <x v="4"/>
    <n v="80"/>
    <n v="51"/>
    <n v="15"/>
    <n v="97"/>
    <n v="42"/>
    <n v="285"/>
    <n v="500"/>
    <n v="0.56999999999999995"/>
    <n v="0.43000000000000005"/>
  </r>
  <r>
    <s v="Mum-TCL046"/>
    <x v="45"/>
    <x v="5"/>
    <n v="49"/>
    <n v="82"/>
    <n v="95"/>
    <n v="46"/>
    <n v="78"/>
    <n v="350"/>
    <n v="500"/>
    <n v="0.7"/>
    <n v="0.30000000000000004"/>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600000000000004"/>
  </r>
  <r>
    <s v="Mum-TCL050"/>
    <x v="49"/>
    <x v="1"/>
    <n v="17"/>
    <n v="84"/>
    <n v="90"/>
    <n v="77"/>
    <n v="72"/>
    <n v="340"/>
    <n v="500"/>
    <n v="0.68"/>
    <n v="0.31999999999999995"/>
  </r>
  <r>
    <s v="Mum-TCL051"/>
    <x v="50"/>
    <x v="2"/>
    <n v="52"/>
    <n v="36"/>
    <n v="84"/>
    <n v="41"/>
    <n v="57"/>
    <n v="270"/>
    <n v="500"/>
    <n v="0.54"/>
    <n v="0.4599999999999999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00000000000005"/>
  </r>
  <r>
    <s v="Mum-TCL058"/>
    <x v="57"/>
    <x v="1"/>
    <n v="34"/>
    <n v="97"/>
    <n v="66"/>
    <n v="45"/>
    <n v="50"/>
    <n v="292"/>
    <n v="500"/>
    <n v="0.58399999999999996"/>
    <n v="0.41600000000000004"/>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600000000000006"/>
  </r>
  <r>
    <s v="Mum-TCL062"/>
    <x v="61"/>
    <x v="5"/>
    <n v="44"/>
    <n v="60"/>
    <n v="71"/>
    <n v="34"/>
    <n v="37"/>
    <n v="246"/>
    <n v="500"/>
    <n v="0.49199999999999999"/>
    <n v="0.50800000000000001"/>
  </r>
  <r>
    <s v="Mum-TCL063"/>
    <x v="62"/>
    <x v="6"/>
    <n v="43"/>
    <n v="78"/>
    <n v="15"/>
    <n v="98"/>
    <n v="33"/>
    <n v="267"/>
    <n v="500"/>
    <n v="0.53400000000000003"/>
    <n v="0.46599999999999997"/>
  </r>
  <r>
    <s v="Mum-TCL064"/>
    <x v="63"/>
    <x v="7"/>
    <n v="75"/>
    <n v="75"/>
    <n v="89"/>
    <n v="97"/>
    <n v="49"/>
    <n v="385"/>
    <n v="500"/>
    <n v="0.77"/>
    <n v="0.22999999999999998"/>
  </r>
  <r>
    <s v="Mum-TCL065"/>
    <x v="64"/>
    <x v="0"/>
    <n v="74"/>
    <n v="51"/>
    <n v="97"/>
    <n v="73"/>
    <n v="33"/>
    <n v="328"/>
    <n v="500"/>
    <n v="0.65600000000000003"/>
    <n v="0.34399999999999997"/>
  </r>
  <r>
    <s v="Mum-TCL066"/>
    <x v="65"/>
    <x v="1"/>
    <n v="44"/>
    <n v="36"/>
    <n v="11"/>
    <n v="45"/>
    <n v="30"/>
    <n v="166"/>
    <n v="500"/>
    <n v="0.33200000000000002"/>
    <n v="0.66799999999999993"/>
  </r>
  <r>
    <s v="Mum-TCL067"/>
    <x v="66"/>
    <x v="2"/>
    <n v="87"/>
    <n v="79"/>
    <n v="46"/>
    <n v="65"/>
    <n v="65"/>
    <n v="342"/>
    <n v="500"/>
    <n v="0.68400000000000005"/>
    <n v="0.31599999999999995"/>
  </r>
  <r>
    <s v="Mum-TCL068"/>
    <x v="67"/>
    <x v="3"/>
    <n v="70"/>
    <n v="52"/>
    <n v="80"/>
    <n v="43"/>
    <n v="48"/>
    <n v="293"/>
    <n v="500"/>
    <n v="0.58599999999999997"/>
    <n v="0.41400000000000003"/>
  </r>
  <r>
    <s v="Mum-TCL069"/>
    <x v="68"/>
    <x v="4"/>
    <n v="45"/>
    <n v="26"/>
    <n v="27"/>
    <n v="14"/>
    <n v="59"/>
    <n v="171"/>
    <n v="500"/>
    <n v="0.34200000000000003"/>
    <n v="0.65799999999999992"/>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400000000000007"/>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600000000000005"/>
  </r>
  <r>
    <s v="Mum-TCL077"/>
    <x v="76"/>
    <x v="4"/>
    <n v="98"/>
    <n v="15"/>
    <n v="72"/>
    <n v="67"/>
    <n v="34"/>
    <n v="286"/>
    <n v="500"/>
    <n v="0.57199999999999995"/>
    <n v="0.42800000000000005"/>
  </r>
  <r>
    <s v="Mum-TCL078"/>
    <x v="77"/>
    <x v="5"/>
    <n v="50"/>
    <n v="44"/>
    <n v="46"/>
    <n v="13"/>
    <n v="92"/>
    <n v="245"/>
    <n v="500"/>
    <n v="0.49"/>
    <n v="0.51"/>
  </r>
  <r>
    <s v="Mum-TCL079"/>
    <x v="78"/>
    <x v="6"/>
    <n v="40"/>
    <n v="82"/>
    <n v="72"/>
    <n v="42"/>
    <n v="45"/>
    <n v="281"/>
    <n v="500"/>
    <n v="0.56200000000000006"/>
    <n v="0.43799999999999994"/>
  </r>
  <r>
    <s v="Mum-TCL080"/>
    <x v="79"/>
    <x v="7"/>
    <n v="23"/>
    <n v="83"/>
    <n v="63"/>
    <n v="65"/>
    <n v="83"/>
    <n v="317"/>
    <n v="500"/>
    <n v="0.63400000000000001"/>
    <n v="0.36599999999999999"/>
  </r>
  <r>
    <s v="Mum-TCL081"/>
    <x v="80"/>
    <x v="0"/>
    <n v="71"/>
    <n v="94"/>
    <n v="45"/>
    <n v="95"/>
    <n v="46"/>
    <n v="351"/>
    <n v="500"/>
    <n v="0.70199999999999996"/>
    <n v="0.29800000000000004"/>
  </r>
  <r>
    <s v="Mum-TCL082"/>
    <x v="81"/>
    <x v="1"/>
    <n v="48"/>
    <n v="49"/>
    <n v="68"/>
    <n v="23"/>
    <n v="21"/>
    <n v="209"/>
    <n v="500"/>
    <n v="0.41799999999999998"/>
    <n v="0.58200000000000007"/>
  </r>
  <r>
    <s v="Mum-TCL083"/>
    <x v="82"/>
    <x v="2"/>
    <n v="77"/>
    <n v="83"/>
    <n v="64"/>
    <n v="53"/>
    <n v="13"/>
    <n v="290"/>
    <n v="500"/>
    <n v="0.57999999999999996"/>
    <n v="0.42000000000000004"/>
  </r>
  <r>
    <s v="Mum-TCL084"/>
    <x v="83"/>
    <x v="3"/>
    <n v="81"/>
    <n v="63"/>
    <n v="88"/>
    <n v="89"/>
    <n v="63"/>
    <n v="384"/>
    <n v="500"/>
    <n v="0.76800000000000002"/>
    <n v="0.23199999999999998"/>
  </r>
  <r>
    <s v="Mum-TCL085"/>
    <x v="84"/>
    <x v="4"/>
    <n v="39"/>
    <n v="87"/>
    <n v="62"/>
    <n v="80"/>
    <n v="81"/>
    <n v="349"/>
    <n v="500"/>
    <n v="0.69799999999999995"/>
    <n v="0.30200000000000005"/>
  </r>
  <r>
    <s v="Mum-TCL086"/>
    <x v="85"/>
    <x v="5"/>
    <n v="46"/>
    <n v="19"/>
    <n v="59"/>
    <n v="58"/>
    <n v="33"/>
    <n v="215"/>
    <n v="500"/>
    <n v="0.43"/>
    <n v="0.57000000000000006"/>
  </r>
  <r>
    <s v="Mum-TCL087"/>
    <x v="86"/>
    <x v="6"/>
    <n v="34"/>
    <n v="15"/>
    <n v="43"/>
    <n v="63"/>
    <n v="54"/>
    <n v="209"/>
    <n v="500"/>
    <n v="0.41799999999999998"/>
    <n v="0.58200000000000007"/>
  </r>
  <r>
    <s v="Mum-TCL088"/>
    <x v="87"/>
    <x v="7"/>
    <n v="32"/>
    <n v="79"/>
    <n v="65"/>
    <n v="57"/>
    <n v="73"/>
    <n v="306"/>
    <n v="500"/>
    <n v="0.61199999999999999"/>
    <n v="0.38800000000000001"/>
  </r>
  <r>
    <s v="Mum-TCL089"/>
    <x v="88"/>
    <x v="0"/>
    <n v="72"/>
    <n v="82"/>
    <n v="58"/>
    <n v="36"/>
    <n v="33"/>
    <n v="281"/>
    <n v="500"/>
    <n v="0.56200000000000006"/>
    <n v="0.43799999999999994"/>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799999999999994"/>
  </r>
  <r>
    <s v="Mum-TCL093"/>
    <x v="92"/>
    <x v="4"/>
    <n v="18"/>
    <n v="80"/>
    <n v="20"/>
    <n v="32"/>
    <n v="95"/>
    <n v="245"/>
    <n v="500"/>
    <n v="0.49"/>
    <n v="0.51"/>
  </r>
  <r>
    <s v="Mum-TCL094"/>
    <x v="93"/>
    <x v="5"/>
    <n v="96"/>
    <n v="14"/>
    <n v="20"/>
    <n v="31"/>
    <n v="44"/>
    <n v="205"/>
    <n v="500"/>
    <n v="0.41"/>
    <n v="0.59000000000000008"/>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800000000000005"/>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399999999999997"/>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800000000000004"/>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800000000000007"/>
  </r>
  <r>
    <s v="Mum-TCL109"/>
    <x v="108"/>
    <x v="4"/>
    <n v="24"/>
    <n v="31"/>
    <n v="41"/>
    <n v="57"/>
    <n v="83"/>
    <n v="236"/>
    <n v="500"/>
    <n v="0.47199999999999998"/>
    <n v="0.52800000000000002"/>
  </r>
  <r>
    <s v="Mum-TCL110"/>
    <x v="109"/>
    <x v="5"/>
    <n v="83"/>
    <n v="62"/>
    <n v="32"/>
    <n v="83"/>
    <n v="95"/>
    <n v="355"/>
    <n v="500"/>
    <n v="0.71"/>
    <n v="0.29000000000000004"/>
  </r>
  <r>
    <s v="Mum-TCL111"/>
    <x v="110"/>
    <x v="6"/>
    <n v="39"/>
    <n v="52"/>
    <n v="72"/>
    <n v="99"/>
    <n v="58"/>
    <n v="320"/>
    <n v="500"/>
    <n v="0.64"/>
    <n v="0.36"/>
  </r>
  <r>
    <s v="Mum-TCL112"/>
    <x v="111"/>
    <x v="7"/>
    <n v="93"/>
    <n v="74"/>
    <n v="85"/>
    <n v="47"/>
    <n v="90"/>
    <n v="389"/>
    <n v="500"/>
    <n v="0.77800000000000002"/>
    <n v="0.22199999999999998"/>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200000000000006"/>
  </r>
  <r>
    <s v="Mum-TCL116"/>
    <x v="115"/>
    <x v="3"/>
    <n v="71"/>
    <n v="42"/>
    <n v="17"/>
    <n v="57"/>
    <n v="96"/>
    <n v="283"/>
    <n v="500"/>
    <n v="0.56599999999999995"/>
    <n v="0.43400000000000005"/>
  </r>
  <r>
    <s v="Mum-TCL117"/>
    <x v="116"/>
    <x v="4"/>
    <n v="26"/>
    <n v="65"/>
    <n v="17"/>
    <n v="28"/>
    <n v="30"/>
    <n v="166"/>
    <n v="500"/>
    <n v="0.33200000000000002"/>
    <n v="0.66799999999999993"/>
  </r>
  <r>
    <s v="Mum-TCL118"/>
    <x v="117"/>
    <x v="5"/>
    <n v="26"/>
    <n v="61"/>
    <n v="89"/>
    <n v="71"/>
    <n v="33"/>
    <n v="280"/>
    <n v="500"/>
    <n v="0.56000000000000005"/>
    <n v="0.43999999999999995"/>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399999999999996"/>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9000000000000004"/>
  </r>
  <r>
    <s v="Mum-TCL132"/>
    <x v="131"/>
    <x v="3"/>
    <n v="71"/>
    <n v="21"/>
    <n v="70"/>
    <n v="53"/>
    <n v="49"/>
    <n v="264"/>
    <n v="500"/>
    <n v="0.52800000000000002"/>
    <n v="0.47199999999999998"/>
  </r>
  <r>
    <s v="Mum-TCL133"/>
    <x v="132"/>
    <x v="4"/>
    <n v="86"/>
    <n v="60"/>
    <n v="59"/>
    <n v="51"/>
    <n v="90"/>
    <n v="346"/>
    <n v="500"/>
    <n v="0.69199999999999995"/>
    <n v="0.30800000000000005"/>
  </r>
  <r>
    <s v="Mum-TCL134"/>
    <x v="133"/>
    <x v="5"/>
    <n v="68"/>
    <n v="61"/>
    <n v="12"/>
    <n v="41"/>
    <n v="35"/>
    <n v="217"/>
    <n v="500"/>
    <n v="0.434"/>
    <n v="0.56600000000000006"/>
  </r>
  <r>
    <s v="Mum-TCL135"/>
    <x v="134"/>
    <x v="6"/>
    <n v="65"/>
    <n v="34"/>
    <n v="15"/>
    <n v="86"/>
    <n v="71"/>
    <n v="271"/>
    <n v="500"/>
    <n v="0.54200000000000004"/>
    <n v="0.45799999999999996"/>
  </r>
  <r>
    <s v="Mum-TCL136"/>
    <x v="135"/>
    <x v="7"/>
    <n v="91"/>
    <n v="21"/>
    <n v="59"/>
    <n v="85"/>
    <n v="60"/>
    <n v="316"/>
    <n v="500"/>
    <n v="0.63200000000000001"/>
    <n v="0.36799999999999999"/>
  </r>
  <r>
    <s v="Mum-TCL137"/>
    <x v="136"/>
    <x v="0"/>
    <n v="73"/>
    <n v="67"/>
    <n v="49"/>
    <n v="56"/>
    <n v="43"/>
    <n v="288"/>
    <n v="500"/>
    <n v="0.57599999999999996"/>
    <n v="0.42400000000000004"/>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80000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A6377D-63D5-4F39-A06B-6624F6E2CFA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4:B35" firstHeaderRow="0" firstDataRow="1" firstDataCol="0"/>
  <pivotFields count="12">
    <pivotField dataField="1" showAll="0"/>
    <pivotField showAll="0"/>
    <pivotField showAll="0">
      <items count="9">
        <item h="1" x="3"/>
        <item x="1"/>
        <item h="1" x="0"/>
        <item h="1" x="2"/>
        <item h="1" x="5"/>
        <item h="1" x="4"/>
        <item h="1" x="6"/>
        <item h="1" x="7"/>
        <item t="default"/>
      </items>
    </pivotField>
    <pivotField showAll="0"/>
    <pivotField showAll="0"/>
    <pivotField showAll="0"/>
    <pivotField showAll="0"/>
    <pivotField showAll="0"/>
    <pivotField showAll="0"/>
    <pivotField showAll="0"/>
    <pivotField dataField="1" numFmtId="10" showAll="0"/>
    <pivotField numFmtId="10" showAll="0"/>
  </pivotFields>
  <rowItems count="1">
    <i/>
  </rowItems>
  <colFields count="1">
    <field x="-2"/>
  </colFields>
  <colItems count="2">
    <i>
      <x/>
    </i>
    <i i="1">
      <x v="1"/>
    </i>
  </colItems>
  <dataFields count="2">
    <dataField name="Count of Emp Code" fld="0" subtotal="count" baseField="0" baseItem="0"/>
    <dataField name="Average of Target Hit %" fld="10"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3B1249-1F41-4872-9CA8-715F52CDB6D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6:Z12"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x="1"/>
        <item h="1" x="0"/>
        <item h="1" x="2"/>
        <item h="1" x="5"/>
        <item h="1" x="4"/>
        <item h="1" x="6"/>
        <item h="1" x="7"/>
        <item t="default"/>
      </items>
    </pivotField>
    <pivotField showAll="0"/>
    <pivotField showAll="0"/>
    <pivotField showAll="0"/>
    <pivotField showAll="0"/>
    <pivotField showAll="0"/>
    <pivotField showAll="0"/>
    <pivotField showAll="0"/>
    <pivotField numFmtId="10" showAll="0"/>
    <pivotField dataField="1" numFmtId="10" showAll="0"/>
  </pivotFields>
  <rowFields count="1">
    <field x="1"/>
  </rowFields>
  <rowItems count="6">
    <i>
      <x v="37"/>
    </i>
    <i>
      <x v="61"/>
    </i>
    <i>
      <x v="77"/>
    </i>
    <i>
      <x v="110"/>
    </i>
    <i>
      <x v="134"/>
    </i>
    <i t="grand">
      <x/>
    </i>
  </rowItems>
  <colItems count="1">
    <i/>
  </colItems>
  <dataFields count="1">
    <dataField name="Sum of Away From Target %" fld="11" baseField="0" baseItem="0" numFmtId="10"/>
  </dataField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F03EB3-F5A5-4B1C-978C-93E8C1CBAD07}" name="Top5_SE_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R6:S12"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x="1"/>
        <item h="1" x="0"/>
        <item h="1" x="2"/>
        <item h="1" x="5"/>
        <item h="1" x="4"/>
        <item h="1" x="6"/>
        <item h="1"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6">
    <i>
      <x v="3"/>
    </i>
    <i>
      <x v="21"/>
    </i>
    <i>
      <x v="53"/>
    </i>
    <i>
      <x v="94"/>
    </i>
    <i>
      <x v="102"/>
    </i>
    <i t="grand">
      <x/>
    </i>
  </rowItems>
  <colItems count="1">
    <i/>
  </colItems>
  <dataFields count="1">
    <dataField name="Sum of Target Hit %" fld="10" baseField="0" baseItem="0" numFmtId="1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DE5D8C-53C2-4149-9D0F-07F08FA2D569}" name="Bottom5_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ales Executive">
  <location ref="K6:L12"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x="1"/>
        <item h="1"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6">
    <i>
      <x v="37"/>
    </i>
    <i>
      <x v="61"/>
    </i>
    <i>
      <x v="77"/>
    </i>
    <i>
      <x v="110"/>
    </i>
    <i>
      <x v="134"/>
    </i>
    <i t="grand">
      <x/>
    </i>
  </rowItems>
  <colItems count="1">
    <i/>
  </colItems>
  <dataFields count="1">
    <dataField name=" Total Sales" fld="8" baseField="1" baseItem="0"/>
  </dataFields>
  <chartFormats count="2">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88A7FB-FDD6-4F42-854F-7016A34EE2DA}" name="Top5_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ales Executive">
  <location ref="A6:B12" firstHeaderRow="1" firstDataRow="1" firstDataCol="1"/>
  <pivotFields count="12">
    <pivotField showAll="0"/>
    <pivotField axis="axisRow" showAll="0" measureFilter="1" sortType="descending">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autoSortScope>
        <pivotArea dataOnly="0" outline="0" fieldPosition="0">
          <references count="1">
            <reference field="4294967294" count="1" selected="0">
              <x v="0"/>
            </reference>
          </references>
        </pivotArea>
      </autoSortScope>
    </pivotField>
    <pivotField showAll="0">
      <items count="9">
        <item h="1" x="3"/>
        <item x="1"/>
        <item h="1"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6">
    <i>
      <x v="3"/>
    </i>
    <i>
      <x v="102"/>
    </i>
    <i>
      <x v="94"/>
    </i>
    <i>
      <x v="21"/>
    </i>
    <i>
      <x v="53"/>
    </i>
    <i t="grand">
      <x/>
    </i>
  </rowItems>
  <colItems count="1">
    <i/>
  </colItems>
  <dataFields count="1">
    <dataField name=" Total Sales" fld="8" baseField="1"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185C508-A57D-4A20-B2A7-4B3E729F9017}" sourceName="Region">
  <pivotTables>
    <pivotTable tabId="3" name="Top5_SE"/>
    <pivotTable tabId="3" name="Bottom5_SE"/>
    <pivotTable tabId="3" name="PivotTable5"/>
    <pivotTable tabId="3" name="PivotTable6"/>
    <pivotTable tabId="3" name="Top5_SE_TH"/>
  </pivotTables>
  <data>
    <tabular pivotCacheId="991341797">
      <items count="8">
        <i x="3"/>
        <i x="1" s="1"/>
        <i x="0"/>
        <i x="2"/>
        <i x="5"/>
        <i x="4"/>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DBEF69D-1096-4357-B7D2-917933036846}" cache="Slicer_Region" caption="Region" columnCount="8" showCaption="0" style="SlicerStyleLight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43ADDC-31B1-4D05-8031-2A8139E6C099}" name="Raw_data" displayName="Raw_data" ref="A1:L142" totalsRowShown="0" headerRowDxfId="15" headerRowBorderDxfId="14" tableBorderDxfId="13" totalsRowBorderDxfId="12">
  <autoFilter ref="A1:L142" xr:uid="{BC43ADDC-31B1-4D05-8031-2A8139E6C099}"/>
  <tableColumns count="12">
    <tableColumn id="1" xr3:uid="{22564AC2-AB7D-441B-AD5C-451E0D2C39D6}" name="Emp Code" dataDxfId="11"/>
    <tableColumn id="2" xr3:uid="{8CD7B9F9-2229-426A-9575-AD2177E649B6}" name="Sales Executive" dataDxfId="10"/>
    <tableColumn id="3" xr3:uid="{E455987E-6AEA-4ED2-AB99-DF4515E9F429}" name="Region" dataDxfId="9"/>
    <tableColumn id="4" xr3:uid="{79553F47-DA93-4C28-8152-533052240F64}" name="Day1" dataDxfId="8"/>
    <tableColumn id="5" xr3:uid="{A2428C52-7EA1-4283-96F2-BADFF1C80771}" name="Day2" dataDxfId="7"/>
    <tableColumn id="6" xr3:uid="{5F21EC01-DE30-41A6-B248-0748131EEDF6}" name="Day3" dataDxfId="6"/>
    <tableColumn id="7" xr3:uid="{87729BDD-1D8B-4DEB-8C03-458D28DD1DD4}" name="Day4" dataDxfId="5"/>
    <tableColumn id="8" xr3:uid="{817324B5-7C82-42E1-A967-12D5688C8109}" name="Day5" dataDxfId="4"/>
    <tableColumn id="9" xr3:uid="{AE150DC1-E492-480D-8DA2-D81D57C4A44E}" name="Total Sales" dataDxfId="3">
      <calculatedColumnFormula>SUM(D2:H2)</calculatedColumnFormula>
    </tableColumn>
    <tableColumn id="10" xr3:uid="{844C2B88-2954-44D3-A89E-B5BC3C3C366B}" name="Target" dataDxfId="2"/>
    <tableColumn id="11" xr3:uid="{84CE1A81-035D-48E3-A88E-8D56843BC311}" name="Target Hit %" dataDxfId="1" dataCellStyle="Percent">
      <calculatedColumnFormula>I2/J2</calculatedColumnFormula>
    </tableColumn>
    <tableColumn id="12" xr3:uid="{1AFA25C0-7072-4A43-94A1-FC3CB36A2DC1}" name="Away From Target %" dataDxfId="0">
      <calculatedColumnFormula>100%-K2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5.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330D1-E622-4E08-B856-9F722D25AE03}">
  <dimension ref="A1:L142"/>
  <sheetViews>
    <sheetView workbookViewId="0">
      <selection activeCell="A11" sqref="A11"/>
    </sheetView>
  </sheetViews>
  <sheetFormatPr defaultRowHeight="14.4" x14ac:dyDescent="0.3"/>
  <cols>
    <col min="1" max="1" width="11" customWidth="1"/>
    <col min="2" max="2" width="15.21875" customWidth="1"/>
    <col min="9" max="9" width="11.44140625" customWidth="1"/>
    <col min="11" max="11" width="12.109375" customWidth="1"/>
    <col min="12" max="12" width="18.44140625" customWidth="1"/>
  </cols>
  <sheetData>
    <row r="1" spans="1:12" x14ac:dyDescent="0.3">
      <c r="A1" s="8" t="s">
        <v>0</v>
      </c>
      <c r="B1" s="9" t="s">
        <v>1</v>
      </c>
      <c r="C1" s="9" t="s">
        <v>2</v>
      </c>
      <c r="D1" s="9" t="s">
        <v>3</v>
      </c>
      <c r="E1" s="9" t="s">
        <v>4</v>
      </c>
      <c r="F1" s="9" t="s">
        <v>5</v>
      </c>
      <c r="G1" s="9" t="s">
        <v>6</v>
      </c>
      <c r="H1" s="9" t="s">
        <v>7</v>
      </c>
      <c r="I1" s="9" t="s">
        <v>8</v>
      </c>
      <c r="J1" s="9" t="s">
        <v>9</v>
      </c>
      <c r="K1" s="9" t="s">
        <v>10</v>
      </c>
      <c r="L1" s="10" t="s">
        <v>11</v>
      </c>
    </row>
    <row r="2" spans="1:12" x14ac:dyDescent="0.3">
      <c r="A2" s="6" t="s">
        <v>12</v>
      </c>
      <c r="B2" s="1" t="s">
        <v>13</v>
      </c>
      <c r="C2" s="1" t="s">
        <v>14</v>
      </c>
      <c r="D2" s="2">
        <v>49</v>
      </c>
      <c r="E2" s="2">
        <v>84</v>
      </c>
      <c r="F2" s="2">
        <v>98</v>
      </c>
      <c r="G2" s="2">
        <v>67</v>
      </c>
      <c r="H2" s="2">
        <v>41</v>
      </c>
      <c r="I2" s="3">
        <f>SUM(D2:H2)</f>
        <v>339</v>
      </c>
      <c r="J2" s="3">
        <v>500</v>
      </c>
      <c r="K2" s="4">
        <f>I2/J2</f>
        <v>0.67800000000000005</v>
      </c>
      <c r="L2" s="7">
        <f>100%-K2</f>
        <v>0.32199999999999995</v>
      </c>
    </row>
    <row r="3" spans="1:12" x14ac:dyDescent="0.3">
      <c r="A3" s="6" t="s">
        <v>15</v>
      </c>
      <c r="B3" s="1" t="s">
        <v>16</v>
      </c>
      <c r="C3" s="1" t="s">
        <v>17</v>
      </c>
      <c r="D3" s="2">
        <v>44</v>
      </c>
      <c r="E3" s="2">
        <v>85</v>
      </c>
      <c r="F3" s="2">
        <v>47</v>
      </c>
      <c r="G3" s="2">
        <v>15</v>
      </c>
      <c r="H3" s="2">
        <v>48</v>
      </c>
      <c r="I3" s="3">
        <f t="shared" ref="I3:I66" si="0">SUM(D3:H3)</f>
        <v>239</v>
      </c>
      <c r="J3" s="3">
        <v>500</v>
      </c>
      <c r="K3" s="4">
        <f t="shared" ref="K3:K66" si="1">I3/J3</f>
        <v>0.47799999999999998</v>
      </c>
      <c r="L3" s="7">
        <f t="shared" ref="L3:L66" si="2">100%-K3</f>
        <v>0.52200000000000002</v>
      </c>
    </row>
    <row r="4" spans="1:12" x14ac:dyDescent="0.3">
      <c r="A4" s="6" t="s">
        <v>18</v>
      </c>
      <c r="B4" s="1" t="s">
        <v>19</v>
      </c>
      <c r="C4" s="1" t="s">
        <v>20</v>
      </c>
      <c r="D4" s="2">
        <v>45</v>
      </c>
      <c r="E4" s="2">
        <v>79</v>
      </c>
      <c r="F4" s="2">
        <v>88</v>
      </c>
      <c r="G4" s="2">
        <v>73</v>
      </c>
      <c r="H4" s="2">
        <v>94</v>
      </c>
      <c r="I4" s="3">
        <f t="shared" si="0"/>
        <v>379</v>
      </c>
      <c r="J4" s="3">
        <v>500</v>
      </c>
      <c r="K4" s="4">
        <f t="shared" si="1"/>
        <v>0.75800000000000001</v>
      </c>
      <c r="L4" s="7">
        <f t="shared" si="2"/>
        <v>0.24199999999999999</v>
      </c>
    </row>
    <row r="5" spans="1:12" x14ac:dyDescent="0.3">
      <c r="A5" s="6" t="s">
        <v>21</v>
      </c>
      <c r="B5" s="1" t="s">
        <v>22</v>
      </c>
      <c r="C5" s="1" t="s">
        <v>23</v>
      </c>
      <c r="D5" s="2">
        <v>52</v>
      </c>
      <c r="E5" s="2">
        <v>99</v>
      </c>
      <c r="F5" s="2">
        <v>13</v>
      </c>
      <c r="G5" s="2">
        <v>95</v>
      </c>
      <c r="H5" s="2">
        <v>29</v>
      </c>
      <c r="I5" s="3">
        <f t="shared" si="0"/>
        <v>288</v>
      </c>
      <c r="J5" s="3">
        <v>500</v>
      </c>
      <c r="K5" s="4">
        <f t="shared" si="1"/>
        <v>0.57599999999999996</v>
      </c>
      <c r="L5" s="7">
        <f t="shared" si="2"/>
        <v>0.42400000000000004</v>
      </c>
    </row>
    <row r="6" spans="1:12" x14ac:dyDescent="0.3">
      <c r="A6" s="6" t="s">
        <v>24</v>
      </c>
      <c r="B6" s="1" t="s">
        <v>25</v>
      </c>
      <c r="C6" s="1" t="s">
        <v>26</v>
      </c>
      <c r="D6" s="2">
        <v>35</v>
      </c>
      <c r="E6" s="2">
        <v>54</v>
      </c>
      <c r="F6" s="2">
        <v>49</v>
      </c>
      <c r="G6" s="2">
        <v>26</v>
      </c>
      <c r="H6" s="2">
        <v>49</v>
      </c>
      <c r="I6" s="3">
        <f t="shared" si="0"/>
        <v>213</v>
      </c>
      <c r="J6" s="3">
        <v>500</v>
      </c>
      <c r="K6" s="4">
        <f t="shared" si="1"/>
        <v>0.42599999999999999</v>
      </c>
      <c r="L6" s="7">
        <f t="shared" si="2"/>
        <v>0.57400000000000007</v>
      </c>
    </row>
    <row r="7" spans="1:12" x14ac:dyDescent="0.3">
      <c r="A7" s="6" t="s">
        <v>27</v>
      </c>
      <c r="B7" s="1" t="s">
        <v>28</v>
      </c>
      <c r="C7" s="1" t="s">
        <v>29</v>
      </c>
      <c r="D7" s="2">
        <v>86</v>
      </c>
      <c r="E7" s="2">
        <v>31</v>
      </c>
      <c r="F7" s="2">
        <v>23</v>
      </c>
      <c r="G7" s="2">
        <v>48</v>
      </c>
      <c r="H7" s="2">
        <v>77</v>
      </c>
      <c r="I7" s="3">
        <f t="shared" si="0"/>
        <v>265</v>
      </c>
      <c r="J7" s="3">
        <v>500</v>
      </c>
      <c r="K7" s="4">
        <f t="shared" si="1"/>
        <v>0.53</v>
      </c>
      <c r="L7" s="7">
        <f t="shared" si="2"/>
        <v>0.47</v>
      </c>
    </row>
    <row r="8" spans="1:12" x14ac:dyDescent="0.3">
      <c r="A8" s="6" t="s">
        <v>30</v>
      </c>
      <c r="B8" s="1" t="s">
        <v>31</v>
      </c>
      <c r="C8" s="1" t="s">
        <v>32</v>
      </c>
      <c r="D8" s="2">
        <v>84</v>
      </c>
      <c r="E8" s="2">
        <v>28</v>
      </c>
      <c r="F8" s="2">
        <v>98</v>
      </c>
      <c r="G8" s="2">
        <v>80</v>
      </c>
      <c r="H8" s="2">
        <v>79</v>
      </c>
      <c r="I8" s="3">
        <f t="shared" si="0"/>
        <v>369</v>
      </c>
      <c r="J8" s="3">
        <v>500</v>
      </c>
      <c r="K8" s="4">
        <f t="shared" si="1"/>
        <v>0.73799999999999999</v>
      </c>
      <c r="L8" s="7">
        <f t="shared" si="2"/>
        <v>0.26200000000000001</v>
      </c>
    </row>
    <row r="9" spans="1:12" x14ac:dyDescent="0.3">
      <c r="A9" s="6" t="s">
        <v>33</v>
      </c>
      <c r="B9" s="1" t="s">
        <v>34</v>
      </c>
      <c r="C9" s="1" t="s">
        <v>35</v>
      </c>
      <c r="D9" s="2">
        <v>73</v>
      </c>
      <c r="E9" s="2">
        <v>97</v>
      </c>
      <c r="F9" s="2">
        <v>38</v>
      </c>
      <c r="G9" s="2">
        <v>24</v>
      </c>
      <c r="H9" s="2">
        <v>53</v>
      </c>
      <c r="I9" s="3">
        <f t="shared" si="0"/>
        <v>285</v>
      </c>
      <c r="J9" s="3">
        <v>500</v>
      </c>
      <c r="K9" s="4">
        <f t="shared" si="1"/>
        <v>0.56999999999999995</v>
      </c>
      <c r="L9" s="7">
        <f t="shared" si="2"/>
        <v>0.43000000000000005</v>
      </c>
    </row>
    <row r="10" spans="1:12" x14ac:dyDescent="0.3">
      <c r="A10" s="6" t="s">
        <v>36</v>
      </c>
      <c r="B10" s="1" t="s">
        <v>37</v>
      </c>
      <c r="C10" s="1" t="s">
        <v>14</v>
      </c>
      <c r="D10" s="2">
        <v>54</v>
      </c>
      <c r="E10" s="2">
        <v>26</v>
      </c>
      <c r="F10" s="2">
        <v>53</v>
      </c>
      <c r="G10" s="2">
        <v>36</v>
      </c>
      <c r="H10" s="2">
        <v>20</v>
      </c>
      <c r="I10" s="3">
        <f t="shared" si="0"/>
        <v>189</v>
      </c>
      <c r="J10" s="3">
        <v>500</v>
      </c>
      <c r="K10" s="4">
        <f t="shared" si="1"/>
        <v>0.378</v>
      </c>
      <c r="L10" s="7">
        <f t="shared" si="2"/>
        <v>0.622</v>
      </c>
    </row>
    <row r="11" spans="1:12" x14ac:dyDescent="0.3">
      <c r="A11" s="6" t="s">
        <v>38</v>
      </c>
      <c r="B11" s="1" t="s">
        <v>39</v>
      </c>
      <c r="C11" s="1" t="s">
        <v>17</v>
      </c>
      <c r="D11" s="2">
        <v>52</v>
      </c>
      <c r="E11" s="2">
        <v>52</v>
      </c>
      <c r="F11" s="2">
        <v>19</v>
      </c>
      <c r="G11" s="2">
        <v>53</v>
      </c>
      <c r="H11" s="2">
        <v>37</v>
      </c>
      <c r="I11" s="3">
        <f t="shared" si="0"/>
        <v>213</v>
      </c>
      <c r="J11" s="3">
        <v>500</v>
      </c>
      <c r="K11" s="4">
        <f t="shared" si="1"/>
        <v>0.42599999999999999</v>
      </c>
      <c r="L11" s="7">
        <f t="shared" si="2"/>
        <v>0.57400000000000007</v>
      </c>
    </row>
    <row r="12" spans="1:12" x14ac:dyDescent="0.3">
      <c r="A12" s="6" t="s">
        <v>40</v>
      </c>
      <c r="B12" s="1" t="s">
        <v>41</v>
      </c>
      <c r="C12" s="1" t="s">
        <v>20</v>
      </c>
      <c r="D12" s="2">
        <v>63</v>
      </c>
      <c r="E12" s="2">
        <v>17</v>
      </c>
      <c r="F12" s="2">
        <v>40</v>
      </c>
      <c r="G12" s="2">
        <v>48</v>
      </c>
      <c r="H12" s="2">
        <v>51</v>
      </c>
      <c r="I12" s="3">
        <f t="shared" si="0"/>
        <v>219</v>
      </c>
      <c r="J12" s="3">
        <v>500</v>
      </c>
      <c r="K12" s="4">
        <f t="shared" si="1"/>
        <v>0.438</v>
      </c>
      <c r="L12" s="7">
        <f t="shared" si="2"/>
        <v>0.56200000000000006</v>
      </c>
    </row>
    <row r="13" spans="1:12" x14ac:dyDescent="0.3">
      <c r="A13" s="6" t="s">
        <v>42</v>
      </c>
      <c r="B13" s="1" t="s">
        <v>43</v>
      </c>
      <c r="C13" s="1" t="s">
        <v>23</v>
      </c>
      <c r="D13" s="2">
        <v>79</v>
      </c>
      <c r="E13" s="2">
        <v>99</v>
      </c>
      <c r="F13" s="2">
        <v>95</v>
      </c>
      <c r="G13" s="2">
        <v>12</v>
      </c>
      <c r="H13" s="2">
        <v>91</v>
      </c>
      <c r="I13" s="3">
        <f t="shared" si="0"/>
        <v>376</v>
      </c>
      <c r="J13" s="3">
        <v>500</v>
      </c>
      <c r="K13" s="4">
        <f t="shared" si="1"/>
        <v>0.752</v>
      </c>
      <c r="L13" s="7">
        <f t="shared" si="2"/>
        <v>0.248</v>
      </c>
    </row>
    <row r="14" spans="1:12" x14ac:dyDescent="0.3">
      <c r="A14" s="6" t="s">
        <v>44</v>
      </c>
      <c r="B14" s="1" t="s">
        <v>45</v>
      </c>
      <c r="C14" s="1" t="s">
        <v>26</v>
      </c>
      <c r="D14" s="5">
        <v>95</v>
      </c>
      <c r="E14" s="2">
        <v>88</v>
      </c>
      <c r="F14" s="2">
        <v>11</v>
      </c>
      <c r="G14" s="2">
        <v>78</v>
      </c>
      <c r="H14" s="2">
        <v>60</v>
      </c>
      <c r="I14" s="3">
        <f t="shared" si="0"/>
        <v>332</v>
      </c>
      <c r="J14" s="3">
        <v>500</v>
      </c>
      <c r="K14" s="4">
        <f t="shared" si="1"/>
        <v>0.66400000000000003</v>
      </c>
      <c r="L14" s="7">
        <f t="shared" si="2"/>
        <v>0.33599999999999997</v>
      </c>
    </row>
    <row r="15" spans="1:12" x14ac:dyDescent="0.3">
      <c r="A15" s="6" t="s">
        <v>46</v>
      </c>
      <c r="B15" s="1" t="s">
        <v>47</v>
      </c>
      <c r="C15" s="1" t="s">
        <v>29</v>
      </c>
      <c r="D15" s="2">
        <v>83</v>
      </c>
      <c r="E15" s="2">
        <v>77</v>
      </c>
      <c r="F15" s="2">
        <v>66</v>
      </c>
      <c r="G15" s="2">
        <v>22</v>
      </c>
      <c r="H15" s="2">
        <v>40</v>
      </c>
      <c r="I15" s="3">
        <f t="shared" si="0"/>
        <v>288</v>
      </c>
      <c r="J15" s="3">
        <v>500</v>
      </c>
      <c r="K15" s="4">
        <f t="shared" si="1"/>
        <v>0.57599999999999996</v>
      </c>
      <c r="L15" s="7">
        <f t="shared" si="2"/>
        <v>0.42400000000000004</v>
      </c>
    </row>
    <row r="16" spans="1:12" x14ac:dyDescent="0.3">
      <c r="A16" s="6" t="s">
        <v>48</v>
      </c>
      <c r="B16" s="1" t="s">
        <v>49</v>
      </c>
      <c r="C16" s="1" t="s">
        <v>32</v>
      </c>
      <c r="D16" s="2">
        <v>78</v>
      </c>
      <c r="E16" s="2">
        <v>58</v>
      </c>
      <c r="F16" s="2">
        <v>34</v>
      </c>
      <c r="G16" s="2">
        <v>84</v>
      </c>
      <c r="H16" s="2">
        <v>31</v>
      </c>
      <c r="I16" s="3">
        <f t="shared" si="0"/>
        <v>285</v>
      </c>
      <c r="J16" s="3">
        <v>500</v>
      </c>
      <c r="K16" s="4">
        <f t="shared" si="1"/>
        <v>0.56999999999999995</v>
      </c>
      <c r="L16" s="7">
        <f t="shared" si="2"/>
        <v>0.43000000000000005</v>
      </c>
    </row>
    <row r="17" spans="1:12" x14ac:dyDescent="0.3">
      <c r="A17" s="6" t="s">
        <v>50</v>
      </c>
      <c r="B17" s="1" t="s">
        <v>51</v>
      </c>
      <c r="C17" s="1" t="s">
        <v>35</v>
      </c>
      <c r="D17" s="2">
        <v>14</v>
      </c>
      <c r="E17" s="2">
        <v>25</v>
      </c>
      <c r="F17" s="2">
        <v>45</v>
      </c>
      <c r="G17" s="2">
        <v>70</v>
      </c>
      <c r="H17" s="2">
        <v>45</v>
      </c>
      <c r="I17" s="3">
        <f t="shared" si="0"/>
        <v>199</v>
      </c>
      <c r="J17" s="3">
        <v>500</v>
      </c>
      <c r="K17" s="4">
        <f t="shared" si="1"/>
        <v>0.39800000000000002</v>
      </c>
      <c r="L17" s="7">
        <f t="shared" si="2"/>
        <v>0.60199999999999998</v>
      </c>
    </row>
    <row r="18" spans="1:12" x14ac:dyDescent="0.3">
      <c r="A18" s="6" t="s">
        <v>52</v>
      </c>
      <c r="B18" s="1" t="s">
        <v>53</v>
      </c>
      <c r="C18" s="1" t="s">
        <v>14</v>
      </c>
      <c r="D18" s="2">
        <v>37</v>
      </c>
      <c r="E18" s="2">
        <v>69</v>
      </c>
      <c r="F18" s="2">
        <v>96</v>
      </c>
      <c r="G18" s="2">
        <v>66</v>
      </c>
      <c r="H18" s="2">
        <v>38</v>
      </c>
      <c r="I18" s="3">
        <f t="shared" si="0"/>
        <v>306</v>
      </c>
      <c r="J18" s="3">
        <v>500</v>
      </c>
      <c r="K18" s="4">
        <f t="shared" si="1"/>
        <v>0.61199999999999999</v>
      </c>
      <c r="L18" s="7">
        <f t="shared" si="2"/>
        <v>0.38800000000000001</v>
      </c>
    </row>
    <row r="19" spans="1:12" x14ac:dyDescent="0.3">
      <c r="A19" s="6" t="s">
        <v>54</v>
      </c>
      <c r="B19" s="1" t="s">
        <v>55</v>
      </c>
      <c r="C19" s="1" t="s">
        <v>17</v>
      </c>
      <c r="D19" s="2">
        <v>11</v>
      </c>
      <c r="E19" s="2">
        <v>46</v>
      </c>
      <c r="F19" s="2">
        <v>91</v>
      </c>
      <c r="G19" s="2">
        <v>98</v>
      </c>
      <c r="H19" s="2">
        <v>45</v>
      </c>
      <c r="I19" s="3">
        <f t="shared" si="0"/>
        <v>291</v>
      </c>
      <c r="J19" s="3">
        <v>500</v>
      </c>
      <c r="K19" s="4">
        <f t="shared" si="1"/>
        <v>0.58199999999999996</v>
      </c>
      <c r="L19" s="7">
        <f t="shared" si="2"/>
        <v>0.41800000000000004</v>
      </c>
    </row>
    <row r="20" spans="1:12" x14ac:dyDescent="0.3">
      <c r="A20" s="6" t="s">
        <v>56</v>
      </c>
      <c r="B20" s="1" t="s">
        <v>57</v>
      </c>
      <c r="C20" s="1" t="s">
        <v>20</v>
      </c>
      <c r="D20" s="2">
        <v>19</v>
      </c>
      <c r="E20" s="2">
        <v>34</v>
      </c>
      <c r="F20" s="2">
        <v>64</v>
      </c>
      <c r="G20" s="2">
        <v>65</v>
      </c>
      <c r="H20" s="2">
        <v>70</v>
      </c>
      <c r="I20" s="3">
        <f t="shared" si="0"/>
        <v>252</v>
      </c>
      <c r="J20" s="3">
        <v>500</v>
      </c>
      <c r="K20" s="4">
        <f t="shared" si="1"/>
        <v>0.504</v>
      </c>
      <c r="L20" s="7">
        <f t="shared" si="2"/>
        <v>0.496</v>
      </c>
    </row>
    <row r="21" spans="1:12" x14ac:dyDescent="0.3">
      <c r="A21" s="6" t="s">
        <v>58</v>
      </c>
      <c r="B21" s="1" t="s">
        <v>59</v>
      </c>
      <c r="C21" s="1" t="s">
        <v>23</v>
      </c>
      <c r="D21" s="2">
        <v>93</v>
      </c>
      <c r="E21" s="2">
        <v>84</v>
      </c>
      <c r="F21" s="2">
        <v>13</v>
      </c>
      <c r="G21" s="2">
        <v>45</v>
      </c>
      <c r="H21" s="2">
        <v>18</v>
      </c>
      <c r="I21" s="3">
        <f t="shared" si="0"/>
        <v>253</v>
      </c>
      <c r="J21" s="3">
        <v>500</v>
      </c>
      <c r="K21" s="4">
        <f t="shared" si="1"/>
        <v>0.50600000000000001</v>
      </c>
      <c r="L21" s="7">
        <f t="shared" si="2"/>
        <v>0.49399999999999999</v>
      </c>
    </row>
    <row r="22" spans="1:12" x14ac:dyDescent="0.3">
      <c r="A22" s="6" t="s">
        <v>60</v>
      </c>
      <c r="B22" s="1" t="s">
        <v>61</v>
      </c>
      <c r="C22" s="1" t="s">
        <v>26</v>
      </c>
      <c r="D22" s="2">
        <v>68</v>
      </c>
      <c r="E22" s="2">
        <v>73</v>
      </c>
      <c r="F22" s="2">
        <v>97</v>
      </c>
      <c r="G22" s="2">
        <v>76</v>
      </c>
      <c r="H22" s="2">
        <v>53</v>
      </c>
      <c r="I22" s="3">
        <f t="shared" si="0"/>
        <v>367</v>
      </c>
      <c r="J22" s="3">
        <v>500</v>
      </c>
      <c r="K22" s="4">
        <f t="shared" si="1"/>
        <v>0.73399999999999999</v>
      </c>
      <c r="L22" s="7">
        <f t="shared" si="2"/>
        <v>0.26600000000000001</v>
      </c>
    </row>
    <row r="23" spans="1:12" x14ac:dyDescent="0.3">
      <c r="A23" s="6" t="s">
        <v>62</v>
      </c>
      <c r="B23" s="1" t="s">
        <v>63</v>
      </c>
      <c r="C23" s="1" t="s">
        <v>29</v>
      </c>
      <c r="D23" s="2">
        <v>99</v>
      </c>
      <c r="E23" s="2">
        <v>17</v>
      </c>
      <c r="F23" s="2">
        <v>48</v>
      </c>
      <c r="G23" s="2">
        <v>44</v>
      </c>
      <c r="H23" s="2">
        <v>93</v>
      </c>
      <c r="I23" s="3">
        <f t="shared" si="0"/>
        <v>301</v>
      </c>
      <c r="J23" s="3">
        <v>500</v>
      </c>
      <c r="K23" s="4">
        <f t="shared" si="1"/>
        <v>0.60199999999999998</v>
      </c>
      <c r="L23" s="7">
        <f t="shared" si="2"/>
        <v>0.39800000000000002</v>
      </c>
    </row>
    <row r="24" spans="1:12" x14ac:dyDescent="0.3">
      <c r="A24" s="6" t="s">
        <v>64</v>
      </c>
      <c r="B24" s="1" t="s">
        <v>65</v>
      </c>
      <c r="C24" s="1" t="s">
        <v>32</v>
      </c>
      <c r="D24" s="2">
        <v>57</v>
      </c>
      <c r="E24" s="2">
        <v>28</v>
      </c>
      <c r="F24" s="2">
        <v>31</v>
      </c>
      <c r="G24" s="2">
        <v>34</v>
      </c>
      <c r="H24" s="2">
        <v>52</v>
      </c>
      <c r="I24" s="3">
        <f t="shared" si="0"/>
        <v>202</v>
      </c>
      <c r="J24" s="3">
        <v>500</v>
      </c>
      <c r="K24" s="4">
        <f t="shared" si="1"/>
        <v>0.40400000000000003</v>
      </c>
      <c r="L24" s="7">
        <f t="shared" si="2"/>
        <v>0.59599999999999997</v>
      </c>
    </row>
    <row r="25" spans="1:12" x14ac:dyDescent="0.3">
      <c r="A25" s="6" t="s">
        <v>66</v>
      </c>
      <c r="B25" s="1" t="s">
        <v>67</v>
      </c>
      <c r="C25" s="1" t="s">
        <v>35</v>
      </c>
      <c r="D25" s="2">
        <v>40</v>
      </c>
      <c r="E25" s="2">
        <v>22</v>
      </c>
      <c r="F25" s="2">
        <v>18</v>
      </c>
      <c r="G25" s="2">
        <v>11</v>
      </c>
      <c r="H25" s="2">
        <v>92</v>
      </c>
      <c r="I25" s="3">
        <f t="shared" si="0"/>
        <v>183</v>
      </c>
      <c r="J25" s="3">
        <v>500</v>
      </c>
      <c r="K25" s="4">
        <f t="shared" si="1"/>
        <v>0.36599999999999999</v>
      </c>
      <c r="L25" s="7">
        <f t="shared" si="2"/>
        <v>0.63400000000000001</v>
      </c>
    </row>
    <row r="26" spans="1:12" x14ac:dyDescent="0.3">
      <c r="A26" s="6" t="s">
        <v>68</v>
      </c>
      <c r="B26" s="1" t="s">
        <v>69</v>
      </c>
      <c r="C26" s="1" t="s">
        <v>14</v>
      </c>
      <c r="D26" s="2">
        <v>47</v>
      </c>
      <c r="E26" s="2">
        <v>99</v>
      </c>
      <c r="F26" s="2">
        <v>94</v>
      </c>
      <c r="G26" s="2">
        <v>75</v>
      </c>
      <c r="H26" s="2">
        <v>29</v>
      </c>
      <c r="I26" s="3">
        <f t="shared" si="0"/>
        <v>344</v>
      </c>
      <c r="J26" s="3">
        <v>500</v>
      </c>
      <c r="K26" s="4">
        <f t="shared" si="1"/>
        <v>0.68799999999999994</v>
      </c>
      <c r="L26" s="7">
        <f t="shared" si="2"/>
        <v>0.31200000000000006</v>
      </c>
    </row>
    <row r="27" spans="1:12" x14ac:dyDescent="0.3">
      <c r="A27" s="6" t="s">
        <v>70</v>
      </c>
      <c r="B27" s="1" t="s">
        <v>71</v>
      </c>
      <c r="C27" s="1" t="s">
        <v>17</v>
      </c>
      <c r="D27" s="2">
        <v>16</v>
      </c>
      <c r="E27" s="2">
        <v>71</v>
      </c>
      <c r="F27" s="2">
        <v>80</v>
      </c>
      <c r="G27" s="2">
        <v>76</v>
      </c>
      <c r="H27" s="2">
        <v>33</v>
      </c>
      <c r="I27" s="3">
        <f t="shared" si="0"/>
        <v>276</v>
      </c>
      <c r="J27" s="3">
        <v>500</v>
      </c>
      <c r="K27" s="4">
        <f t="shared" si="1"/>
        <v>0.55200000000000005</v>
      </c>
      <c r="L27" s="7">
        <f t="shared" si="2"/>
        <v>0.44799999999999995</v>
      </c>
    </row>
    <row r="28" spans="1:12" x14ac:dyDescent="0.3">
      <c r="A28" s="6" t="s">
        <v>72</v>
      </c>
      <c r="B28" s="1" t="s">
        <v>73</v>
      </c>
      <c r="C28" s="1" t="s">
        <v>20</v>
      </c>
      <c r="D28" s="2">
        <v>72</v>
      </c>
      <c r="E28" s="2">
        <v>87</v>
      </c>
      <c r="F28" s="2">
        <v>92</v>
      </c>
      <c r="G28" s="2">
        <v>72</v>
      </c>
      <c r="H28" s="2">
        <v>34</v>
      </c>
      <c r="I28" s="3">
        <f t="shared" si="0"/>
        <v>357</v>
      </c>
      <c r="J28" s="3">
        <v>500</v>
      </c>
      <c r="K28" s="4">
        <f t="shared" si="1"/>
        <v>0.71399999999999997</v>
      </c>
      <c r="L28" s="7">
        <f t="shared" si="2"/>
        <v>0.28600000000000003</v>
      </c>
    </row>
    <row r="29" spans="1:12" x14ac:dyDescent="0.3">
      <c r="A29" s="6" t="s">
        <v>74</v>
      </c>
      <c r="B29" s="1" t="s">
        <v>75</v>
      </c>
      <c r="C29" s="1" t="s">
        <v>23</v>
      </c>
      <c r="D29" s="2">
        <v>30</v>
      </c>
      <c r="E29" s="2">
        <v>38</v>
      </c>
      <c r="F29" s="2">
        <v>70</v>
      </c>
      <c r="G29" s="2">
        <v>89</v>
      </c>
      <c r="H29" s="2">
        <v>97</v>
      </c>
      <c r="I29" s="3">
        <f t="shared" si="0"/>
        <v>324</v>
      </c>
      <c r="J29" s="3">
        <v>500</v>
      </c>
      <c r="K29" s="4">
        <f t="shared" si="1"/>
        <v>0.64800000000000002</v>
      </c>
      <c r="L29" s="7">
        <f t="shared" si="2"/>
        <v>0.35199999999999998</v>
      </c>
    </row>
    <row r="30" spans="1:12" x14ac:dyDescent="0.3">
      <c r="A30" s="6" t="s">
        <v>76</v>
      </c>
      <c r="B30" s="1" t="s">
        <v>77</v>
      </c>
      <c r="C30" s="1" t="s">
        <v>26</v>
      </c>
      <c r="D30" s="2">
        <v>65</v>
      </c>
      <c r="E30" s="2">
        <v>90</v>
      </c>
      <c r="F30" s="2">
        <v>91</v>
      </c>
      <c r="G30" s="2">
        <v>85</v>
      </c>
      <c r="H30" s="2">
        <v>10</v>
      </c>
      <c r="I30" s="3">
        <f t="shared" si="0"/>
        <v>341</v>
      </c>
      <c r="J30" s="3">
        <v>500</v>
      </c>
      <c r="K30" s="4">
        <f t="shared" si="1"/>
        <v>0.68200000000000005</v>
      </c>
      <c r="L30" s="7">
        <f t="shared" si="2"/>
        <v>0.31799999999999995</v>
      </c>
    </row>
    <row r="31" spans="1:12" x14ac:dyDescent="0.3">
      <c r="A31" s="6" t="s">
        <v>78</v>
      </c>
      <c r="B31" s="1" t="s">
        <v>79</v>
      </c>
      <c r="C31" s="1" t="s">
        <v>29</v>
      </c>
      <c r="D31" s="2">
        <v>83</v>
      </c>
      <c r="E31" s="2">
        <v>46</v>
      </c>
      <c r="F31" s="2">
        <v>99</v>
      </c>
      <c r="G31" s="2">
        <v>36</v>
      </c>
      <c r="H31" s="2">
        <v>89</v>
      </c>
      <c r="I31" s="3">
        <f t="shared" si="0"/>
        <v>353</v>
      </c>
      <c r="J31" s="3">
        <v>500</v>
      </c>
      <c r="K31" s="4">
        <f t="shared" si="1"/>
        <v>0.70599999999999996</v>
      </c>
      <c r="L31" s="7">
        <f t="shared" si="2"/>
        <v>0.29400000000000004</v>
      </c>
    </row>
    <row r="32" spans="1:12" x14ac:dyDescent="0.3">
      <c r="A32" s="6" t="s">
        <v>80</v>
      </c>
      <c r="B32" s="1" t="s">
        <v>81</v>
      </c>
      <c r="C32" s="1" t="s">
        <v>32</v>
      </c>
      <c r="D32" s="2">
        <v>10</v>
      </c>
      <c r="E32" s="2">
        <v>66</v>
      </c>
      <c r="F32" s="2">
        <v>40</v>
      </c>
      <c r="G32" s="2">
        <v>22</v>
      </c>
      <c r="H32" s="2">
        <v>38</v>
      </c>
      <c r="I32" s="3">
        <f t="shared" si="0"/>
        <v>176</v>
      </c>
      <c r="J32" s="3">
        <v>500</v>
      </c>
      <c r="K32" s="4">
        <f t="shared" si="1"/>
        <v>0.35199999999999998</v>
      </c>
      <c r="L32" s="7">
        <f t="shared" si="2"/>
        <v>0.64800000000000002</v>
      </c>
    </row>
    <row r="33" spans="1:12" x14ac:dyDescent="0.3">
      <c r="A33" s="6" t="s">
        <v>82</v>
      </c>
      <c r="B33" s="1" t="s">
        <v>83</v>
      </c>
      <c r="C33" s="1" t="s">
        <v>35</v>
      </c>
      <c r="D33" s="2">
        <v>37</v>
      </c>
      <c r="E33" s="2">
        <v>30</v>
      </c>
      <c r="F33" s="2">
        <v>19</v>
      </c>
      <c r="G33" s="2">
        <v>77</v>
      </c>
      <c r="H33" s="2">
        <v>67</v>
      </c>
      <c r="I33" s="3">
        <f t="shared" si="0"/>
        <v>230</v>
      </c>
      <c r="J33" s="3">
        <v>500</v>
      </c>
      <c r="K33" s="4">
        <f t="shared" si="1"/>
        <v>0.46</v>
      </c>
      <c r="L33" s="7">
        <f t="shared" si="2"/>
        <v>0.54</v>
      </c>
    </row>
    <row r="34" spans="1:12" x14ac:dyDescent="0.3">
      <c r="A34" s="6" t="s">
        <v>84</v>
      </c>
      <c r="B34" s="1" t="s">
        <v>85</v>
      </c>
      <c r="C34" s="1" t="s">
        <v>14</v>
      </c>
      <c r="D34" s="2">
        <v>83</v>
      </c>
      <c r="E34" s="2">
        <v>46</v>
      </c>
      <c r="F34" s="2">
        <v>17</v>
      </c>
      <c r="G34" s="2">
        <v>94</v>
      </c>
      <c r="H34" s="2">
        <v>92</v>
      </c>
      <c r="I34" s="3">
        <f t="shared" si="0"/>
        <v>332</v>
      </c>
      <c r="J34" s="3">
        <v>500</v>
      </c>
      <c r="K34" s="4">
        <f t="shared" si="1"/>
        <v>0.66400000000000003</v>
      </c>
      <c r="L34" s="7">
        <f t="shared" si="2"/>
        <v>0.33599999999999997</v>
      </c>
    </row>
    <row r="35" spans="1:12" x14ac:dyDescent="0.3">
      <c r="A35" s="6" t="s">
        <v>86</v>
      </c>
      <c r="B35" s="1" t="s">
        <v>87</v>
      </c>
      <c r="C35" s="1" t="s">
        <v>17</v>
      </c>
      <c r="D35" s="2">
        <v>84</v>
      </c>
      <c r="E35" s="2">
        <v>59</v>
      </c>
      <c r="F35" s="2">
        <v>41</v>
      </c>
      <c r="G35" s="2">
        <v>17</v>
      </c>
      <c r="H35" s="2">
        <v>22</v>
      </c>
      <c r="I35" s="3">
        <f t="shared" si="0"/>
        <v>223</v>
      </c>
      <c r="J35" s="3">
        <v>500</v>
      </c>
      <c r="K35" s="4">
        <f t="shared" si="1"/>
        <v>0.44600000000000001</v>
      </c>
      <c r="L35" s="7">
        <f t="shared" si="2"/>
        <v>0.55400000000000005</v>
      </c>
    </row>
    <row r="36" spans="1:12" x14ac:dyDescent="0.3">
      <c r="A36" s="6" t="s">
        <v>88</v>
      </c>
      <c r="B36" s="1" t="s">
        <v>89</v>
      </c>
      <c r="C36" s="1" t="s">
        <v>20</v>
      </c>
      <c r="D36" s="2">
        <v>82</v>
      </c>
      <c r="E36" s="2">
        <v>54</v>
      </c>
      <c r="F36" s="2">
        <v>79</v>
      </c>
      <c r="G36" s="2">
        <v>61</v>
      </c>
      <c r="H36" s="2">
        <v>47</v>
      </c>
      <c r="I36" s="3">
        <f t="shared" si="0"/>
        <v>323</v>
      </c>
      <c r="J36" s="3">
        <v>500</v>
      </c>
      <c r="K36" s="4">
        <f t="shared" si="1"/>
        <v>0.64600000000000002</v>
      </c>
      <c r="L36" s="7">
        <f t="shared" si="2"/>
        <v>0.35399999999999998</v>
      </c>
    </row>
    <row r="37" spans="1:12" x14ac:dyDescent="0.3">
      <c r="A37" s="6" t="s">
        <v>90</v>
      </c>
      <c r="B37" s="1" t="s">
        <v>91</v>
      </c>
      <c r="C37" s="1" t="s">
        <v>23</v>
      </c>
      <c r="D37" s="2">
        <v>47</v>
      </c>
      <c r="E37" s="2">
        <v>23</v>
      </c>
      <c r="F37" s="2">
        <v>19</v>
      </c>
      <c r="G37" s="2">
        <v>64</v>
      </c>
      <c r="H37" s="2">
        <v>61</v>
      </c>
      <c r="I37" s="3">
        <f t="shared" si="0"/>
        <v>214</v>
      </c>
      <c r="J37" s="3">
        <v>500</v>
      </c>
      <c r="K37" s="4">
        <f t="shared" si="1"/>
        <v>0.42799999999999999</v>
      </c>
      <c r="L37" s="7">
        <f t="shared" si="2"/>
        <v>0.57200000000000006</v>
      </c>
    </row>
    <row r="38" spans="1:12" x14ac:dyDescent="0.3">
      <c r="A38" s="6" t="s">
        <v>92</v>
      </c>
      <c r="B38" s="1" t="s">
        <v>93</v>
      </c>
      <c r="C38" s="1" t="s">
        <v>26</v>
      </c>
      <c r="D38" s="2">
        <v>91</v>
      </c>
      <c r="E38" s="2">
        <v>13</v>
      </c>
      <c r="F38" s="2">
        <v>79</v>
      </c>
      <c r="G38" s="2">
        <v>85</v>
      </c>
      <c r="H38" s="2">
        <v>67</v>
      </c>
      <c r="I38" s="3">
        <f t="shared" si="0"/>
        <v>335</v>
      </c>
      <c r="J38" s="3">
        <v>500</v>
      </c>
      <c r="K38" s="4">
        <f t="shared" si="1"/>
        <v>0.67</v>
      </c>
      <c r="L38" s="7">
        <f t="shared" si="2"/>
        <v>0.32999999999999996</v>
      </c>
    </row>
    <row r="39" spans="1:12" x14ac:dyDescent="0.3">
      <c r="A39" s="6" t="s">
        <v>94</v>
      </c>
      <c r="B39" s="1" t="s">
        <v>95</v>
      </c>
      <c r="C39" s="1" t="s">
        <v>29</v>
      </c>
      <c r="D39" s="2">
        <v>66</v>
      </c>
      <c r="E39" s="2">
        <v>59</v>
      </c>
      <c r="F39" s="2">
        <v>25</v>
      </c>
      <c r="G39" s="2">
        <v>55</v>
      </c>
      <c r="H39" s="2">
        <v>59</v>
      </c>
      <c r="I39" s="3">
        <f t="shared" si="0"/>
        <v>264</v>
      </c>
      <c r="J39" s="3">
        <v>500</v>
      </c>
      <c r="K39" s="4">
        <f t="shared" si="1"/>
        <v>0.52800000000000002</v>
      </c>
      <c r="L39" s="7">
        <f t="shared" si="2"/>
        <v>0.47199999999999998</v>
      </c>
    </row>
    <row r="40" spans="1:12" x14ac:dyDescent="0.3">
      <c r="A40" s="6" t="s">
        <v>96</v>
      </c>
      <c r="B40" s="1" t="s">
        <v>97</v>
      </c>
      <c r="C40" s="1" t="s">
        <v>32</v>
      </c>
      <c r="D40" s="2">
        <v>70</v>
      </c>
      <c r="E40" s="2">
        <v>18</v>
      </c>
      <c r="F40" s="2">
        <v>88</v>
      </c>
      <c r="G40" s="2">
        <v>46</v>
      </c>
      <c r="H40" s="2">
        <v>52</v>
      </c>
      <c r="I40" s="3">
        <f t="shared" si="0"/>
        <v>274</v>
      </c>
      <c r="J40" s="3">
        <v>500</v>
      </c>
      <c r="K40" s="4">
        <f t="shared" si="1"/>
        <v>0.54800000000000004</v>
      </c>
      <c r="L40" s="7">
        <f t="shared" si="2"/>
        <v>0.45199999999999996</v>
      </c>
    </row>
    <row r="41" spans="1:12" x14ac:dyDescent="0.3">
      <c r="A41" s="6" t="s">
        <v>98</v>
      </c>
      <c r="B41" s="1" t="s">
        <v>99</v>
      </c>
      <c r="C41" s="1" t="s">
        <v>35</v>
      </c>
      <c r="D41" s="2">
        <v>37</v>
      </c>
      <c r="E41" s="2">
        <v>60</v>
      </c>
      <c r="F41" s="2">
        <v>44</v>
      </c>
      <c r="G41" s="2">
        <v>61</v>
      </c>
      <c r="H41" s="2">
        <v>30</v>
      </c>
      <c r="I41" s="3">
        <f t="shared" si="0"/>
        <v>232</v>
      </c>
      <c r="J41" s="3">
        <v>500</v>
      </c>
      <c r="K41" s="4">
        <f t="shared" si="1"/>
        <v>0.46400000000000002</v>
      </c>
      <c r="L41" s="7">
        <f t="shared" si="2"/>
        <v>0.53600000000000003</v>
      </c>
    </row>
    <row r="42" spans="1:12" x14ac:dyDescent="0.3">
      <c r="A42" s="6" t="s">
        <v>100</v>
      </c>
      <c r="B42" s="1" t="s">
        <v>101</v>
      </c>
      <c r="C42" s="1" t="s">
        <v>14</v>
      </c>
      <c r="D42" s="2">
        <v>16</v>
      </c>
      <c r="E42" s="2">
        <v>46</v>
      </c>
      <c r="F42" s="2">
        <v>33</v>
      </c>
      <c r="G42" s="2">
        <v>54</v>
      </c>
      <c r="H42" s="2">
        <v>58</v>
      </c>
      <c r="I42" s="3">
        <f t="shared" si="0"/>
        <v>207</v>
      </c>
      <c r="J42" s="3">
        <v>500</v>
      </c>
      <c r="K42" s="4">
        <f t="shared" si="1"/>
        <v>0.41399999999999998</v>
      </c>
      <c r="L42" s="7">
        <f t="shared" si="2"/>
        <v>0.58600000000000008</v>
      </c>
    </row>
    <row r="43" spans="1:12" x14ac:dyDescent="0.3">
      <c r="A43" s="6" t="s">
        <v>102</v>
      </c>
      <c r="B43" s="1" t="s">
        <v>103</v>
      </c>
      <c r="C43" s="1" t="s">
        <v>17</v>
      </c>
      <c r="D43" s="2">
        <v>47</v>
      </c>
      <c r="E43" s="2">
        <v>97</v>
      </c>
      <c r="F43" s="2">
        <v>74</v>
      </c>
      <c r="G43" s="2">
        <v>97</v>
      </c>
      <c r="H43" s="2">
        <v>56</v>
      </c>
      <c r="I43" s="3">
        <f t="shared" si="0"/>
        <v>371</v>
      </c>
      <c r="J43" s="3">
        <v>500</v>
      </c>
      <c r="K43" s="4">
        <f t="shared" si="1"/>
        <v>0.74199999999999999</v>
      </c>
      <c r="L43" s="7">
        <f t="shared" si="2"/>
        <v>0.25800000000000001</v>
      </c>
    </row>
    <row r="44" spans="1:12" x14ac:dyDescent="0.3">
      <c r="A44" s="6" t="s">
        <v>104</v>
      </c>
      <c r="B44" s="1" t="s">
        <v>105</v>
      </c>
      <c r="C44" s="1" t="s">
        <v>20</v>
      </c>
      <c r="D44" s="2">
        <v>86</v>
      </c>
      <c r="E44" s="2">
        <v>22</v>
      </c>
      <c r="F44" s="2">
        <v>10</v>
      </c>
      <c r="G44" s="2">
        <v>60</v>
      </c>
      <c r="H44" s="2">
        <v>28</v>
      </c>
      <c r="I44" s="3">
        <f t="shared" si="0"/>
        <v>206</v>
      </c>
      <c r="J44" s="3">
        <v>500</v>
      </c>
      <c r="K44" s="4">
        <f t="shared" si="1"/>
        <v>0.41199999999999998</v>
      </c>
      <c r="L44" s="7">
        <f t="shared" si="2"/>
        <v>0.58800000000000008</v>
      </c>
    </row>
    <row r="45" spans="1:12" x14ac:dyDescent="0.3">
      <c r="A45" s="6" t="s">
        <v>106</v>
      </c>
      <c r="B45" s="1" t="s">
        <v>107</v>
      </c>
      <c r="C45" s="1" t="s">
        <v>23</v>
      </c>
      <c r="D45" s="2">
        <v>74</v>
      </c>
      <c r="E45" s="2">
        <v>17</v>
      </c>
      <c r="F45" s="2">
        <v>45</v>
      </c>
      <c r="G45" s="2">
        <v>64</v>
      </c>
      <c r="H45" s="2">
        <v>13</v>
      </c>
      <c r="I45" s="3">
        <f t="shared" si="0"/>
        <v>213</v>
      </c>
      <c r="J45" s="3">
        <v>500</v>
      </c>
      <c r="K45" s="4">
        <f t="shared" si="1"/>
        <v>0.42599999999999999</v>
      </c>
      <c r="L45" s="7">
        <f t="shared" si="2"/>
        <v>0.57400000000000007</v>
      </c>
    </row>
    <row r="46" spans="1:12" x14ac:dyDescent="0.3">
      <c r="A46" s="6" t="s">
        <v>108</v>
      </c>
      <c r="B46" s="1" t="s">
        <v>109</v>
      </c>
      <c r="C46" s="1" t="s">
        <v>26</v>
      </c>
      <c r="D46" s="2">
        <v>80</v>
      </c>
      <c r="E46" s="2">
        <v>51</v>
      </c>
      <c r="F46" s="2">
        <v>15</v>
      </c>
      <c r="G46" s="2">
        <v>97</v>
      </c>
      <c r="H46" s="2">
        <v>42</v>
      </c>
      <c r="I46" s="3">
        <f t="shared" si="0"/>
        <v>285</v>
      </c>
      <c r="J46" s="3">
        <v>500</v>
      </c>
      <c r="K46" s="4">
        <f t="shared" si="1"/>
        <v>0.56999999999999995</v>
      </c>
      <c r="L46" s="7">
        <f t="shared" si="2"/>
        <v>0.43000000000000005</v>
      </c>
    </row>
    <row r="47" spans="1:12" x14ac:dyDescent="0.3">
      <c r="A47" s="6" t="s">
        <v>110</v>
      </c>
      <c r="B47" s="1" t="s">
        <v>111</v>
      </c>
      <c r="C47" s="1" t="s">
        <v>29</v>
      </c>
      <c r="D47" s="2">
        <v>49</v>
      </c>
      <c r="E47" s="2">
        <v>82</v>
      </c>
      <c r="F47" s="2">
        <v>95</v>
      </c>
      <c r="G47" s="2">
        <v>46</v>
      </c>
      <c r="H47" s="2">
        <v>78</v>
      </c>
      <c r="I47" s="3">
        <f t="shared" si="0"/>
        <v>350</v>
      </c>
      <c r="J47" s="3">
        <v>500</v>
      </c>
      <c r="K47" s="4">
        <f t="shared" si="1"/>
        <v>0.7</v>
      </c>
      <c r="L47" s="7">
        <f t="shared" si="2"/>
        <v>0.30000000000000004</v>
      </c>
    </row>
    <row r="48" spans="1:12" x14ac:dyDescent="0.3">
      <c r="A48" s="6" t="s">
        <v>112</v>
      </c>
      <c r="B48" s="1" t="s">
        <v>113</v>
      </c>
      <c r="C48" s="1" t="s">
        <v>32</v>
      </c>
      <c r="D48" s="2">
        <v>17</v>
      </c>
      <c r="E48" s="2">
        <v>88</v>
      </c>
      <c r="F48" s="2">
        <v>12</v>
      </c>
      <c r="G48" s="2">
        <v>54</v>
      </c>
      <c r="H48" s="2">
        <v>21</v>
      </c>
      <c r="I48" s="3">
        <f t="shared" si="0"/>
        <v>192</v>
      </c>
      <c r="J48" s="3">
        <v>500</v>
      </c>
      <c r="K48" s="4">
        <f t="shared" si="1"/>
        <v>0.38400000000000001</v>
      </c>
      <c r="L48" s="7">
        <f t="shared" si="2"/>
        <v>0.61599999999999999</v>
      </c>
    </row>
    <row r="49" spans="1:12" x14ac:dyDescent="0.3">
      <c r="A49" s="6" t="s">
        <v>114</v>
      </c>
      <c r="B49" s="1" t="s">
        <v>115</v>
      </c>
      <c r="C49" s="1" t="s">
        <v>35</v>
      </c>
      <c r="D49" s="2">
        <v>74</v>
      </c>
      <c r="E49" s="2">
        <v>16</v>
      </c>
      <c r="F49" s="2">
        <v>74</v>
      </c>
      <c r="G49" s="2">
        <v>36</v>
      </c>
      <c r="H49" s="2">
        <v>33</v>
      </c>
      <c r="I49" s="3">
        <f t="shared" si="0"/>
        <v>233</v>
      </c>
      <c r="J49" s="3">
        <v>500</v>
      </c>
      <c r="K49" s="4">
        <f t="shared" si="1"/>
        <v>0.46600000000000003</v>
      </c>
      <c r="L49" s="7">
        <f t="shared" si="2"/>
        <v>0.53400000000000003</v>
      </c>
    </row>
    <row r="50" spans="1:12" x14ac:dyDescent="0.3">
      <c r="A50" s="6" t="s">
        <v>116</v>
      </c>
      <c r="B50" s="1" t="s">
        <v>117</v>
      </c>
      <c r="C50" s="1" t="s">
        <v>14</v>
      </c>
      <c r="D50" s="2">
        <v>73</v>
      </c>
      <c r="E50" s="2">
        <v>72</v>
      </c>
      <c r="F50" s="2">
        <v>38</v>
      </c>
      <c r="G50" s="2">
        <v>19</v>
      </c>
      <c r="H50" s="2">
        <v>90</v>
      </c>
      <c r="I50" s="3">
        <f t="shared" si="0"/>
        <v>292</v>
      </c>
      <c r="J50" s="3">
        <v>500</v>
      </c>
      <c r="K50" s="4">
        <f t="shared" si="1"/>
        <v>0.58399999999999996</v>
      </c>
      <c r="L50" s="7">
        <f t="shared" si="2"/>
        <v>0.41600000000000004</v>
      </c>
    </row>
    <row r="51" spans="1:12" x14ac:dyDescent="0.3">
      <c r="A51" s="6" t="s">
        <v>118</v>
      </c>
      <c r="B51" s="1" t="s">
        <v>119</v>
      </c>
      <c r="C51" s="1" t="s">
        <v>17</v>
      </c>
      <c r="D51" s="2">
        <v>17</v>
      </c>
      <c r="E51" s="2">
        <v>84</v>
      </c>
      <c r="F51" s="2">
        <v>90</v>
      </c>
      <c r="G51" s="2">
        <v>77</v>
      </c>
      <c r="H51" s="2">
        <v>72</v>
      </c>
      <c r="I51" s="3">
        <f t="shared" si="0"/>
        <v>340</v>
      </c>
      <c r="J51" s="3">
        <v>500</v>
      </c>
      <c r="K51" s="4">
        <f t="shared" si="1"/>
        <v>0.68</v>
      </c>
      <c r="L51" s="7">
        <f t="shared" si="2"/>
        <v>0.31999999999999995</v>
      </c>
    </row>
    <row r="52" spans="1:12" x14ac:dyDescent="0.3">
      <c r="A52" s="6" t="s">
        <v>120</v>
      </c>
      <c r="B52" s="1" t="s">
        <v>121</v>
      </c>
      <c r="C52" s="1" t="s">
        <v>20</v>
      </c>
      <c r="D52" s="2">
        <v>52</v>
      </c>
      <c r="E52" s="2">
        <v>36</v>
      </c>
      <c r="F52" s="2">
        <v>84</v>
      </c>
      <c r="G52" s="2">
        <v>41</v>
      </c>
      <c r="H52" s="2">
        <v>57</v>
      </c>
      <c r="I52" s="3">
        <f t="shared" si="0"/>
        <v>270</v>
      </c>
      <c r="J52" s="3">
        <v>500</v>
      </c>
      <c r="K52" s="4">
        <f t="shared" si="1"/>
        <v>0.54</v>
      </c>
      <c r="L52" s="7">
        <f t="shared" si="2"/>
        <v>0.45999999999999996</v>
      </c>
    </row>
    <row r="53" spans="1:12" x14ac:dyDescent="0.3">
      <c r="A53" s="6" t="s">
        <v>122</v>
      </c>
      <c r="B53" s="1" t="s">
        <v>123</v>
      </c>
      <c r="C53" s="1" t="s">
        <v>23</v>
      </c>
      <c r="D53" s="2">
        <v>65</v>
      </c>
      <c r="E53" s="2">
        <v>67</v>
      </c>
      <c r="F53" s="2">
        <v>72</v>
      </c>
      <c r="G53" s="2">
        <v>22</v>
      </c>
      <c r="H53" s="2">
        <v>23</v>
      </c>
      <c r="I53" s="3">
        <f t="shared" si="0"/>
        <v>249</v>
      </c>
      <c r="J53" s="3">
        <v>500</v>
      </c>
      <c r="K53" s="4">
        <f t="shared" si="1"/>
        <v>0.498</v>
      </c>
      <c r="L53" s="7">
        <f t="shared" si="2"/>
        <v>0.502</v>
      </c>
    </row>
    <row r="54" spans="1:12" x14ac:dyDescent="0.3">
      <c r="A54" s="6" t="s">
        <v>124</v>
      </c>
      <c r="B54" s="1" t="s">
        <v>125</v>
      </c>
      <c r="C54" s="1" t="s">
        <v>26</v>
      </c>
      <c r="D54" s="2">
        <v>88</v>
      </c>
      <c r="E54" s="2">
        <v>39</v>
      </c>
      <c r="F54" s="2">
        <v>25</v>
      </c>
      <c r="G54" s="2">
        <v>99</v>
      </c>
      <c r="H54" s="2">
        <v>71</v>
      </c>
      <c r="I54" s="3">
        <f t="shared" si="0"/>
        <v>322</v>
      </c>
      <c r="J54" s="3">
        <v>500</v>
      </c>
      <c r="K54" s="4">
        <f t="shared" si="1"/>
        <v>0.64400000000000002</v>
      </c>
      <c r="L54" s="7">
        <f t="shared" si="2"/>
        <v>0.35599999999999998</v>
      </c>
    </row>
    <row r="55" spans="1:12" x14ac:dyDescent="0.3">
      <c r="A55" s="6" t="s">
        <v>126</v>
      </c>
      <c r="B55" s="1" t="s">
        <v>127</v>
      </c>
      <c r="C55" s="1" t="s">
        <v>29</v>
      </c>
      <c r="D55" s="2">
        <v>23</v>
      </c>
      <c r="E55" s="2">
        <v>14</v>
      </c>
      <c r="F55" s="2">
        <v>15</v>
      </c>
      <c r="G55" s="2">
        <v>58</v>
      </c>
      <c r="H55" s="2">
        <v>79</v>
      </c>
      <c r="I55" s="3">
        <f t="shared" si="0"/>
        <v>189</v>
      </c>
      <c r="J55" s="3">
        <v>500</v>
      </c>
      <c r="K55" s="4">
        <f t="shared" si="1"/>
        <v>0.378</v>
      </c>
      <c r="L55" s="7">
        <f t="shared" si="2"/>
        <v>0.622</v>
      </c>
    </row>
    <row r="56" spans="1:12" x14ac:dyDescent="0.3">
      <c r="A56" s="6" t="s">
        <v>128</v>
      </c>
      <c r="B56" s="1" t="s">
        <v>129</v>
      </c>
      <c r="C56" s="1" t="s">
        <v>32</v>
      </c>
      <c r="D56" s="2">
        <v>15</v>
      </c>
      <c r="E56" s="2">
        <v>67</v>
      </c>
      <c r="F56" s="2">
        <v>48</v>
      </c>
      <c r="G56" s="2">
        <v>95</v>
      </c>
      <c r="H56" s="2">
        <v>35</v>
      </c>
      <c r="I56" s="3">
        <f t="shared" si="0"/>
        <v>260</v>
      </c>
      <c r="J56" s="3">
        <v>500</v>
      </c>
      <c r="K56" s="4">
        <f t="shared" si="1"/>
        <v>0.52</v>
      </c>
      <c r="L56" s="7">
        <f t="shared" si="2"/>
        <v>0.48</v>
      </c>
    </row>
    <row r="57" spans="1:12" x14ac:dyDescent="0.3">
      <c r="A57" s="6" t="s">
        <v>130</v>
      </c>
      <c r="B57" s="1" t="s">
        <v>131</v>
      </c>
      <c r="C57" s="1" t="s">
        <v>35</v>
      </c>
      <c r="D57" s="2">
        <v>18</v>
      </c>
      <c r="E57" s="2">
        <v>35</v>
      </c>
      <c r="F57" s="2">
        <v>82</v>
      </c>
      <c r="G57" s="2">
        <v>31</v>
      </c>
      <c r="H57" s="2">
        <v>26</v>
      </c>
      <c r="I57" s="3">
        <f t="shared" si="0"/>
        <v>192</v>
      </c>
      <c r="J57" s="3">
        <v>500</v>
      </c>
      <c r="K57" s="4">
        <f t="shared" si="1"/>
        <v>0.38400000000000001</v>
      </c>
      <c r="L57" s="7">
        <f t="shared" si="2"/>
        <v>0.61599999999999999</v>
      </c>
    </row>
    <row r="58" spans="1:12" x14ac:dyDescent="0.3">
      <c r="A58" s="6" t="s">
        <v>132</v>
      </c>
      <c r="B58" s="1" t="s">
        <v>133</v>
      </c>
      <c r="C58" s="1" t="s">
        <v>14</v>
      </c>
      <c r="D58" s="2">
        <v>57</v>
      </c>
      <c r="E58" s="2">
        <v>60</v>
      </c>
      <c r="F58" s="2">
        <v>42</v>
      </c>
      <c r="G58" s="2">
        <v>81</v>
      </c>
      <c r="H58" s="2">
        <v>44</v>
      </c>
      <c r="I58" s="3">
        <f t="shared" si="0"/>
        <v>284</v>
      </c>
      <c r="J58" s="3">
        <v>500</v>
      </c>
      <c r="K58" s="4">
        <f t="shared" si="1"/>
        <v>0.56799999999999995</v>
      </c>
      <c r="L58" s="7">
        <f t="shared" si="2"/>
        <v>0.43200000000000005</v>
      </c>
    </row>
    <row r="59" spans="1:12" x14ac:dyDescent="0.3">
      <c r="A59" s="6" t="s">
        <v>134</v>
      </c>
      <c r="B59" s="1" t="s">
        <v>135</v>
      </c>
      <c r="C59" s="1" t="s">
        <v>17</v>
      </c>
      <c r="D59" s="2">
        <v>34</v>
      </c>
      <c r="E59" s="2">
        <v>97</v>
      </c>
      <c r="F59" s="2">
        <v>66</v>
      </c>
      <c r="G59" s="2">
        <v>45</v>
      </c>
      <c r="H59" s="2">
        <v>50</v>
      </c>
      <c r="I59" s="3">
        <f t="shared" si="0"/>
        <v>292</v>
      </c>
      <c r="J59" s="3">
        <v>500</v>
      </c>
      <c r="K59" s="4">
        <f t="shared" si="1"/>
        <v>0.58399999999999996</v>
      </c>
      <c r="L59" s="7">
        <f t="shared" si="2"/>
        <v>0.41600000000000004</v>
      </c>
    </row>
    <row r="60" spans="1:12" x14ac:dyDescent="0.3">
      <c r="A60" s="6" t="s">
        <v>136</v>
      </c>
      <c r="B60" s="1" t="s">
        <v>137</v>
      </c>
      <c r="C60" s="1" t="s">
        <v>20</v>
      </c>
      <c r="D60" s="2">
        <v>83</v>
      </c>
      <c r="E60" s="2">
        <v>12</v>
      </c>
      <c r="F60" s="2">
        <v>70</v>
      </c>
      <c r="G60" s="2">
        <v>83</v>
      </c>
      <c r="H60" s="2">
        <v>52</v>
      </c>
      <c r="I60" s="3">
        <f t="shared" si="0"/>
        <v>300</v>
      </c>
      <c r="J60" s="3">
        <v>500</v>
      </c>
      <c r="K60" s="4">
        <f t="shared" si="1"/>
        <v>0.6</v>
      </c>
      <c r="L60" s="7">
        <f t="shared" si="2"/>
        <v>0.4</v>
      </c>
    </row>
    <row r="61" spans="1:12" x14ac:dyDescent="0.3">
      <c r="A61" s="6" t="s">
        <v>138</v>
      </c>
      <c r="B61" s="1" t="s">
        <v>139</v>
      </c>
      <c r="C61" s="1" t="s">
        <v>23</v>
      </c>
      <c r="D61" s="2">
        <v>76</v>
      </c>
      <c r="E61" s="2">
        <v>55</v>
      </c>
      <c r="F61" s="2">
        <v>56</v>
      </c>
      <c r="G61" s="2">
        <v>16</v>
      </c>
      <c r="H61" s="2">
        <v>61</v>
      </c>
      <c r="I61" s="3">
        <f t="shared" si="0"/>
        <v>264</v>
      </c>
      <c r="J61" s="3">
        <v>500</v>
      </c>
      <c r="K61" s="4">
        <f t="shared" si="1"/>
        <v>0.52800000000000002</v>
      </c>
      <c r="L61" s="7">
        <f t="shared" si="2"/>
        <v>0.47199999999999998</v>
      </c>
    </row>
    <row r="62" spans="1:12" x14ac:dyDescent="0.3">
      <c r="A62" s="6" t="s">
        <v>140</v>
      </c>
      <c r="B62" s="1" t="s">
        <v>141</v>
      </c>
      <c r="C62" s="1" t="s">
        <v>26</v>
      </c>
      <c r="D62" s="2">
        <v>40</v>
      </c>
      <c r="E62" s="2">
        <v>70</v>
      </c>
      <c r="F62" s="2">
        <v>19</v>
      </c>
      <c r="G62" s="2">
        <v>36</v>
      </c>
      <c r="H62" s="2">
        <v>52</v>
      </c>
      <c r="I62" s="3">
        <f t="shared" si="0"/>
        <v>217</v>
      </c>
      <c r="J62" s="3">
        <v>500</v>
      </c>
      <c r="K62" s="4">
        <f t="shared" si="1"/>
        <v>0.434</v>
      </c>
      <c r="L62" s="7">
        <f t="shared" si="2"/>
        <v>0.56600000000000006</v>
      </c>
    </row>
    <row r="63" spans="1:12" x14ac:dyDescent="0.3">
      <c r="A63" s="6" t="s">
        <v>142</v>
      </c>
      <c r="B63" s="1" t="s">
        <v>143</v>
      </c>
      <c r="C63" s="1" t="s">
        <v>29</v>
      </c>
      <c r="D63" s="2">
        <v>44</v>
      </c>
      <c r="E63" s="2">
        <v>60</v>
      </c>
      <c r="F63" s="2">
        <v>71</v>
      </c>
      <c r="G63" s="2">
        <v>34</v>
      </c>
      <c r="H63" s="2">
        <v>37</v>
      </c>
      <c r="I63" s="3">
        <f t="shared" si="0"/>
        <v>246</v>
      </c>
      <c r="J63" s="3">
        <v>500</v>
      </c>
      <c r="K63" s="4">
        <f t="shared" si="1"/>
        <v>0.49199999999999999</v>
      </c>
      <c r="L63" s="7">
        <f t="shared" si="2"/>
        <v>0.50800000000000001</v>
      </c>
    </row>
    <row r="64" spans="1:12" x14ac:dyDescent="0.3">
      <c r="A64" s="6" t="s">
        <v>144</v>
      </c>
      <c r="B64" s="1" t="s">
        <v>145</v>
      </c>
      <c r="C64" s="1" t="s">
        <v>32</v>
      </c>
      <c r="D64" s="2">
        <v>43</v>
      </c>
      <c r="E64" s="2">
        <v>78</v>
      </c>
      <c r="F64" s="2">
        <v>15</v>
      </c>
      <c r="G64" s="2">
        <v>98</v>
      </c>
      <c r="H64" s="2">
        <v>33</v>
      </c>
      <c r="I64" s="3">
        <f t="shared" si="0"/>
        <v>267</v>
      </c>
      <c r="J64" s="3">
        <v>500</v>
      </c>
      <c r="K64" s="4">
        <f t="shared" si="1"/>
        <v>0.53400000000000003</v>
      </c>
      <c r="L64" s="7">
        <f t="shared" si="2"/>
        <v>0.46599999999999997</v>
      </c>
    </row>
    <row r="65" spans="1:12" x14ac:dyDescent="0.3">
      <c r="A65" s="6" t="s">
        <v>146</v>
      </c>
      <c r="B65" s="1" t="s">
        <v>147</v>
      </c>
      <c r="C65" s="1" t="s">
        <v>35</v>
      </c>
      <c r="D65" s="2">
        <v>75</v>
      </c>
      <c r="E65" s="2">
        <v>75</v>
      </c>
      <c r="F65" s="2">
        <v>89</v>
      </c>
      <c r="G65" s="2">
        <v>97</v>
      </c>
      <c r="H65" s="2">
        <v>49</v>
      </c>
      <c r="I65" s="3">
        <f t="shared" si="0"/>
        <v>385</v>
      </c>
      <c r="J65" s="3">
        <v>500</v>
      </c>
      <c r="K65" s="4">
        <f t="shared" si="1"/>
        <v>0.77</v>
      </c>
      <c r="L65" s="7">
        <f t="shared" si="2"/>
        <v>0.22999999999999998</v>
      </c>
    </row>
    <row r="66" spans="1:12" x14ac:dyDescent="0.3">
      <c r="A66" s="6" t="s">
        <v>148</v>
      </c>
      <c r="B66" s="1" t="s">
        <v>149</v>
      </c>
      <c r="C66" s="1" t="s">
        <v>14</v>
      </c>
      <c r="D66" s="2">
        <v>74</v>
      </c>
      <c r="E66" s="2">
        <v>51</v>
      </c>
      <c r="F66" s="2">
        <v>97</v>
      </c>
      <c r="G66" s="2">
        <v>73</v>
      </c>
      <c r="H66" s="2">
        <v>33</v>
      </c>
      <c r="I66" s="3">
        <f t="shared" si="0"/>
        <v>328</v>
      </c>
      <c r="J66" s="3">
        <v>500</v>
      </c>
      <c r="K66" s="4">
        <f t="shared" si="1"/>
        <v>0.65600000000000003</v>
      </c>
      <c r="L66" s="7">
        <f t="shared" si="2"/>
        <v>0.34399999999999997</v>
      </c>
    </row>
    <row r="67" spans="1:12" x14ac:dyDescent="0.3">
      <c r="A67" s="6" t="s">
        <v>150</v>
      </c>
      <c r="B67" s="1" t="s">
        <v>151</v>
      </c>
      <c r="C67" s="1" t="s">
        <v>17</v>
      </c>
      <c r="D67" s="2">
        <v>44</v>
      </c>
      <c r="E67" s="2">
        <v>36</v>
      </c>
      <c r="F67" s="2">
        <v>11</v>
      </c>
      <c r="G67" s="2">
        <v>45</v>
      </c>
      <c r="H67" s="2">
        <v>30</v>
      </c>
      <c r="I67" s="3">
        <f t="shared" ref="I67:I130" si="3">SUM(D67:H67)</f>
        <v>166</v>
      </c>
      <c r="J67" s="3">
        <v>500</v>
      </c>
      <c r="K67" s="4">
        <f t="shared" ref="K67:K130" si="4">I67/J67</f>
        <v>0.33200000000000002</v>
      </c>
      <c r="L67" s="7">
        <f t="shared" ref="L67:L130" si="5">100%-K67</f>
        <v>0.66799999999999993</v>
      </c>
    </row>
    <row r="68" spans="1:12" x14ac:dyDescent="0.3">
      <c r="A68" s="6" t="s">
        <v>152</v>
      </c>
      <c r="B68" s="1" t="s">
        <v>153</v>
      </c>
      <c r="C68" s="1" t="s">
        <v>20</v>
      </c>
      <c r="D68" s="2">
        <v>87</v>
      </c>
      <c r="E68" s="2">
        <v>79</v>
      </c>
      <c r="F68" s="2">
        <v>46</v>
      </c>
      <c r="G68" s="2">
        <v>65</v>
      </c>
      <c r="H68" s="2">
        <v>65</v>
      </c>
      <c r="I68" s="3">
        <f t="shared" si="3"/>
        <v>342</v>
      </c>
      <c r="J68" s="3">
        <v>500</v>
      </c>
      <c r="K68" s="4">
        <f t="shared" si="4"/>
        <v>0.68400000000000005</v>
      </c>
      <c r="L68" s="7">
        <f t="shared" si="5"/>
        <v>0.31599999999999995</v>
      </c>
    </row>
    <row r="69" spans="1:12" x14ac:dyDescent="0.3">
      <c r="A69" s="6" t="s">
        <v>154</v>
      </c>
      <c r="B69" s="1" t="s">
        <v>155</v>
      </c>
      <c r="C69" s="1" t="s">
        <v>23</v>
      </c>
      <c r="D69" s="2">
        <v>70</v>
      </c>
      <c r="E69" s="2">
        <v>52</v>
      </c>
      <c r="F69" s="2">
        <v>80</v>
      </c>
      <c r="G69" s="2">
        <v>43</v>
      </c>
      <c r="H69" s="2">
        <v>48</v>
      </c>
      <c r="I69" s="3">
        <f t="shared" si="3"/>
        <v>293</v>
      </c>
      <c r="J69" s="3">
        <v>500</v>
      </c>
      <c r="K69" s="4">
        <f t="shared" si="4"/>
        <v>0.58599999999999997</v>
      </c>
      <c r="L69" s="7">
        <f t="shared" si="5"/>
        <v>0.41400000000000003</v>
      </c>
    </row>
    <row r="70" spans="1:12" x14ac:dyDescent="0.3">
      <c r="A70" s="6" t="s">
        <v>156</v>
      </c>
      <c r="B70" s="1" t="s">
        <v>157</v>
      </c>
      <c r="C70" s="1" t="s">
        <v>26</v>
      </c>
      <c r="D70" s="2">
        <v>45</v>
      </c>
      <c r="E70" s="2">
        <v>26</v>
      </c>
      <c r="F70" s="2">
        <v>27</v>
      </c>
      <c r="G70" s="2">
        <v>14</v>
      </c>
      <c r="H70" s="2">
        <v>59</v>
      </c>
      <c r="I70" s="3">
        <f t="shared" si="3"/>
        <v>171</v>
      </c>
      <c r="J70" s="3">
        <v>500</v>
      </c>
      <c r="K70" s="4">
        <f t="shared" si="4"/>
        <v>0.34200000000000003</v>
      </c>
      <c r="L70" s="7">
        <f t="shared" si="5"/>
        <v>0.65799999999999992</v>
      </c>
    </row>
    <row r="71" spans="1:12" x14ac:dyDescent="0.3">
      <c r="A71" s="6" t="s">
        <v>158</v>
      </c>
      <c r="B71" s="1" t="s">
        <v>159</v>
      </c>
      <c r="C71" s="1" t="s">
        <v>29</v>
      </c>
      <c r="D71" s="2">
        <v>51</v>
      </c>
      <c r="E71" s="2">
        <v>26</v>
      </c>
      <c r="F71" s="2">
        <v>58</v>
      </c>
      <c r="G71" s="2">
        <v>83</v>
      </c>
      <c r="H71" s="2">
        <v>11</v>
      </c>
      <c r="I71" s="3">
        <f t="shared" si="3"/>
        <v>229</v>
      </c>
      <c r="J71" s="3">
        <v>500</v>
      </c>
      <c r="K71" s="4">
        <f t="shared" si="4"/>
        <v>0.45800000000000002</v>
      </c>
      <c r="L71" s="7">
        <f t="shared" si="5"/>
        <v>0.54200000000000004</v>
      </c>
    </row>
    <row r="72" spans="1:12" x14ac:dyDescent="0.3">
      <c r="A72" s="6" t="s">
        <v>160</v>
      </c>
      <c r="B72" s="1" t="s">
        <v>161</v>
      </c>
      <c r="C72" s="1" t="s">
        <v>32</v>
      </c>
      <c r="D72" s="2">
        <v>68</v>
      </c>
      <c r="E72" s="2">
        <v>36</v>
      </c>
      <c r="F72" s="2">
        <v>15</v>
      </c>
      <c r="G72" s="2">
        <v>20</v>
      </c>
      <c r="H72" s="2">
        <v>17</v>
      </c>
      <c r="I72" s="3">
        <f t="shared" si="3"/>
        <v>156</v>
      </c>
      <c r="J72" s="3">
        <v>500</v>
      </c>
      <c r="K72" s="4">
        <f t="shared" si="4"/>
        <v>0.312</v>
      </c>
      <c r="L72" s="7">
        <f t="shared" si="5"/>
        <v>0.68799999999999994</v>
      </c>
    </row>
    <row r="73" spans="1:12" x14ac:dyDescent="0.3">
      <c r="A73" s="6" t="s">
        <v>162</v>
      </c>
      <c r="B73" s="1" t="s">
        <v>163</v>
      </c>
      <c r="C73" s="1" t="s">
        <v>35</v>
      </c>
      <c r="D73" s="2">
        <v>32</v>
      </c>
      <c r="E73" s="2">
        <v>74</v>
      </c>
      <c r="F73" s="2">
        <v>18</v>
      </c>
      <c r="G73" s="2">
        <v>33</v>
      </c>
      <c r="H73" s="2">
        <v>51</v>
      </c>
      <c r="I73" s="3">
        <f t="shared" si="3"/>
        <v>208</v>
      </c>
      <c r="J73" s="3">
        <v>500</v>
      </c>
      <c r="K73" s="4">
        <f t="shared" si="4"/>
        <v>0.41599999999999998</v>
      </c>
      <c r="L73" s="7">
        <f t="shared" si="5"/>
        <v>0.58400000000000007</v>
      </c>
    </row>
    <row r="74" spans="1:12" x14ac:dyDescent="0.3">
      <c r="A74" s="6" t="s">
        <v>164</v>
      </c>
      <c r="B74" s="1" t="s">
        <v>165</v>
      </c>
      <c r="C74" s="1" t="s">
        <v>14</v>
      </c>
      <c r="D74" s="2">
        <v>41</v>
      </c>
      <c r="E74" s="2">
        <v>11</v>
      </c>
      <c r="F74" s="2">
        <v>46</v>
      </c>
      <c r="G74" s="2">
        <v>35</v>
      </c>
      <c r="H74" s="2">
        <v>10</v>
      </c>
      <c r="I74" s="3">
        <f t="shared" si="3"/>
        <v>143</v>
      </c>
      <c r="J74" s="3">
        <v>500</v>
      </c>
      <c r="K74" s="4">
        <f t="shared" si="4"/>
        <v>0.28599999999999998</v>
      </c>
      <c r="L74" s="7">
        <f t="shared" si="5"/>
        <v>0.71399999999999997</v>
      </c>
    </row>
    <row r="75" spans="1:12" x14ac:dyDescent="0.3">
      <c r="A75" s="6" t="s">
        <v>166</v>
      </c>
      <c r="B75" s="1" t="s">
        <v>167</v>
      </c>
      <c r="C75" s="1" t="s">
        <v>17</v>
      </c>
      <c r="D75" s="2">
        <v>41</v>
      </c>
      <c r="E75" s="2">
        <v>17</v>
      </c>
      <c r="F75" s="2">
        <v>82</v>
      </c>
      <c r="G75" s="2">
        <v>75</v>
      </c>
      <c r="H75" s="2">
        <v>39</v>
      </c>
      <c r="I75" s="3">
        <f t="shared" si="3"/>
        <v>254</v>
      </c>
      <c r="J75" s="3">
        <v>500</v>
      </c>
      <c r="K75" s="4">
        <f t="shared" si="4"/>
        <v>0.50800000000000001</v>
      </c>
      <c r="L75" s="7">
        <f t="shared" si="5"/>
        <v>0.49199999999999999</v>
      </c>
    </row>
    <row r="76" spans="1:12" x14ac:dyDescent="0.3">
      <c r="A76" s="6" t="s">
        <v>168</v>
      </c>
      <c r="B76" s="1" t="s">
        <v>169</v>
      </c>
      <c r="C76" s="1" t="s">
        <v>20</v>
      </c>
      <c r="D76" s="2">
        <v>12</v>
      </c>
      <c r="E76" s="2">
        <v>97</v>
      </c>
      <c r="F76" s="2">
        <v>45</v>
      </c>
      <c r="G76" s="2">
        <v>29</v>
      </c>
      <c r="H76" s="2">
        <v>41</v>
      </c>
      <c r="I76" s="3">
        <f t="shared" si="3"/>
        <v>224</v>
      </c>
      <c r="J76" s="3">
        <v>500</v>
      </c>
      <c r="K76" s="4">
        <f t="shared" si="4"/>
        <v>0.44800000000000001</v>
      </c>
      <c r="L76" s="7">
        <f t="shared" si="5"/>
        <v>0.55200000000000005</v>
      </c>
    </row>
    <row r="77" spans="1:12" x14ac:dyDescent="0.3">
      <c r="A77" s="6" t="s">
        <v>170</v>
      </c>
      <c r="B77" s="1" t="s">
        <v>171</v>
      </c>
      <c r="C77" s="1" t="s">
        <v>23</v>
      </c>
      <c r="D77" s="2">
        <v>19</v>
      </c>
      <c r="E77" s="2">
        <v>72</v>
      </c>
      <c r="F77" s="2">
        <v>87</v>
      </c>
      <c r="G77" s="2">
        <v>82</v>
      </c>
      <c r="H77" s="2">
        <v>27</v>
      </c>
      <c r="I77" s="3">
        <f t="shared" si="3"/>
        <v>287</v>
      </c>
      <c r="J77" s="3">
        <v>500</v>
      </c>
      <c r="K77" s="4">
        <f t="shared" si="4"/>
        <v>0.57399999999999995</v>
      </c>
      <c r="L77" s="7">
        <f t="shared" si="5"/>
        <v>0.42600000000000005</v>
      </c>
    </row>
    <row r="78" spans="1:12" x14ac:dyDescent="0.3">
      <c r="A78" s="6" t="s">
        <v>172</v>
      </c>
      <c r="B78" s="1" t="s">
        <v>173</v>
      </c>
      <c r="C78" s="1" t="s">
        <v>26</v>
      </c>
      <c r="D78" s="2">
        <v>98</v>
      </c>
      <c r="E78" s="2">
        <v>15</v>
      </c>
      <c r="F78" s="2">
        <v>72</v>
      </c>
      <c r="G78" s="2">
        <v>67</v>
      </c>
      <c r="H78" s="2">
        <v>34</v>
      </c>
      <c r="I78" s="3">
        <f t="shared" si="3"/>
        <v>286</v>
      </c>
      <c r="J78" s="3">
        <v>500</v>
      </c>
      <c r="K78" s="4">
        <f t="shared" si="4"/>
        <v>0.57199999999999995</v>
      </c>
      <c r="L78" s="7">
        <f t="shared" si="5"/>
        <v>0.42800000000000005</v>
      </c>
    </row>
    <row r="79" spans="1:12" x14ac:dyDescent="0.3">
      <c r="A79" s="6" t="s">
        <v>174</v>
      </c>
      <c r="B79" s="1" t="s">
        <v>175</v>
      </c>
      <c r="C79" s="1" t="s">
        <v>29</v>
      </c>
      <c r="D79" s="2">
        <v>50</v>
      </c>
      <c r="E79" s="2">
        <v>44</v>
      </c>
      <c r="F79" s="2">
        <v>46</v>
      </c>
      <c r="G79" s="2">
        <v>13</v>
      </c>
      <c r="H79" s="2">
        <v>92</v>
      </c>
      <c r="I79" s="3">
        <f t="shared" si="3"/>
        <v>245</v>
      </c>
      <c r="J79" s="3">
        <v>500</v>
      </c>
      <c r="K79" s="4">
        <f t="shared" si="4"/>
        <v>0.49</v>
      </c>
      <c r="L79" s="7">
        <f t="shared" si="5"/>
        <v>0.51</v>
      </c>
    </row>
    <row r="80" spans="1:12" x14ac:dyDescent="0.3">
      <c r="A80" s="6" t="s">
        <v>176</v>
      </c>
      <c r="B80" s="1" t="s">
        <v>177</v>
      </c>
      <c r="C80" s="1" t="s">
        <v>32</v>
      </c>
      <c r="D80" s="2">
        <v>40</v>
      </c>
      <c r="E80" s="2">
        <v>82</v>
      </c>
      <c r="F80" s="2">
        <v>72</v>
      </c>
      <c r="G80" s="2">
        <v>42</v>
      </c>
      <c r="H80" s="2">
        <v>45</v>
      </c>
      <c r="I80" s="3">
        <f t="shared" si="3"/>
        <v>281</v>
      </c>
      <c r="J80" s="3">
        <v>500</v>
      </c>
      <c r="K80" s="4">
        <f t="shared" si="4"/>
        <v>0.56200000000000006</v>
      </c>
      <c r="L80" s="7">
        <f t="shared" si="5"/>
        <v>0.43799999999999994</v>
      </c>
    </row>
    <row r="81" spans="1:12" x14ac:dyDescent="0.3">
      <c r="A81" s="6" t="s">
        <v>178</v>
      </c>
      <c r="B81" s="1" t="s">
        <v>179</v>
      </c>
      <c r="C81" s="1" t="s">
        <v>35</v>
      </c>
      <c r="D81" s="2">
        <v>23</v>
      </c>
      <c r="E81" s="2">
        <v>83</v>
      </c>
      <c r="F81" s="2">
        <v>63</v>
      </c>
      <c r="G81" s="2">
        <v>65</v>
      </c>
      <c r="H81" s="2">
        <v>83</v>
      </c>
      <c r="I81" s="3">
        <f t="shared" si="3"/>
        <v>317</v>
      </c>
      <c r="J81" s="3">
        <v>500</v>
      </c>
      <c r="K81" s="4">
        <f t="shared" si="4"/>
        <v>0.63400000000000001</v>
      </c>
      <c r="L81" s="7">
        <f t="shared" si="5"/>
        <v>0.36599999999999999</v>
      </c>
    </row>
    <row r="82" spans="1:12" x14ac:dyDescent="0.3">
      <c r="A82" s="6" t="s">
        <v>180</v>
      </c>
      <c r="B82" s="1" t="s">
        <v>181</v>
      </c>
      <c r="C82" s="1" t="s">
        <v>14</v>
      </c>
      <c r="D82" s="2">
        <v>71</v>
      </c>
      <c r="E82" s="2">
        <v>94</v>
      </c>
      <c r="F82" s="2">
        <v>45</v>
      </c>
      <c r="G82" s="2">
        <v>95</v>
      </c>
      <c r="H82" s="2">
        <v>46</v>
      </c>
      <c r="I82" s="3">
        <f t="shared" si="3"/>
        <v>351</v>
      </c>
      <c r="J82" s="3">
        <v>500</v>
      </c>
      <c r="K82" s="4">
        <f t="shared" si="4"/>
        <v>0.70199999999999996</v>
      </c>
      <c r="L82" s="7">
        <f t="shared" si="5"/>
        <v>0.29800000000000004</v>
      </c>
    </row>
    <row r="83" spans="1:12" x14ac:dyDescent="0.3">
      <c r="A83" s="6" t="s">
        <v>182</v>
      </c>
      <c r="B83" s="1" t="s">
        <v>183</v>
      </c>
      <c r="C83" s="1" t="s">
        <v>17</v>
      </c>
      <c r="D83" s="2">
        <v>48</v>
      </c>
      <c r="E83" s="2">
        <v>49</v>
      </c>
      <c r="F83" s="2">
        <v>68</v>
      </c>
      <c r="G83" s="2">
        <v>23</v>
      </c>
      <c r="H83" s="2">
        <v>21</v>
      </c>
      <c r="I83" s="3">
        <f t="shared" si="3"/>
        <v>209</v>
      </c>
      <c r="J83" s="3">
        <v>500</v>
      </c>
      <c r="K83" s="4">
        <f t="shared" si="4"/>
        <v>0.41799999999999998</v>
      </c>
      <c r="L83" s="7">
        <f t="shared" si="5"/>
        <v>0.58200000000000007</v>
      </c>
    </row>
    <row r="84" spans="1:12" x14ac:dyDescent="0.3">
      <c r="A84" s="6" t="s">
        <v>184</v>
      </c>
      <c r="B84" s="1" t="s">
        <v>185</v>
      </c>
      <c r="C84" s="1" t="s">
        <v>20</v>
      </c>
      <c r="D84" s="2">
        <v>77</v>
      </c>
      <c r="E84" s="2">
        <v>83</v>
      </c>
      <c r="F84" s="2">
        <v>64</v>
      </c>
      <c r="G84" s="2">
        <v>53</v>
      </c>
      <c r="H84" s="2">
        <v>13</v>
      </c>
      <c r="I84" s="3">
        <f t="shared" si="3"/>
        <v>290</v>
      </c>
      <c r="J84" s="3">
        <v>500</v>
      </c>
      <c r="K84" s="4">
        <f t="shared" si="4"/>
        <v>0.57999999999999996</v>
      </c>
      <c r="L84" s="7">
        <f t="shared" si="5"/>
        <v>0.42000000000000004</v>
      </c>
    </row>
    <row r="85" spans="1:12" x14ac:dyDescent="0.3">
      <c r="A85" s="6" t="s">
        <v>186</v>
      </c>
      <c r="B85" s="1" t="s">
        <v>187</v>
      </c>
      <c r="C85" s="1" t="s">
        <v>23</v>
      </c>
      <c r="D85" s="2">
        <v>81</v>
      </c>
      <c r="E85" s="2">
        <v>63</v>
      </c>
      <c r="F85" s="2">
        <v>88</v>
      </c>
      <c r="G85" s="2">
        <v>89</v>
      </c>
      <c r="H85" s="2">
        <v>63</v>
      </c>
      <c r="I85" s="3">
        <f t="shared" si="3"/>
        <v>384</v>
      </c>
      <c r="J85" s="3">
        <v>500</v>
      </c>
      <c r="K85" s="4">
        <f t="shared" si="4"/>
        <v>0.76800000000000002</v>
      </c>
      <c r="L85" s="7">
        <f t="shared" si="5"/>
        <v>0.23199999999999998</v>
      </c>
    </row>
    <row r="86" spans="1:12" x14ac:dyDescent="0.3">
      <c r="A86" s="6" t="s">
        <v>188</v>
      </c>
      <c r="B86" s="1" t="s">
        <v>189</v>
      </c>
      <c r="C86" s="1" t="s">
        <v>26</v>
      </c>
      <c r="D86" s="2">
        <v>39</v>
      </c>
      <c r="E86" s="2">
        <v>87</v>
      </c>
      <c r="F86" s="2">
        <v>62</v>
      </c>
      <c r="G86" s="2">
        <v>80</v>
      </c>
      <c r="H86" s="2">
        <v>81</v>
      </c>
      <c r="I86" s="3">
        <f t="shared" si="3"/>
        <v>349</v>
      </c>
      <c r="J86" s="3">
        <v>500</v>
      </c>
      <c r="K86" s="4">
        <f t="shared" si="4"/>
        <v>0.69799999999999995</v>
      </c>
      <c r="L86" s="7">
        <f t="shared" si="5"/>
        <v>0.30200000000000005</v>
      </c>
    </row>
    <row r="87" spans="1:12" x14ac:dyDescent="0.3">
      <c r="A87" s="6" t="s">
        <v>190</v>
      </c>
      <c r="B87" s="1" t="s">
        <v>191</v>
      </c>
      <c r="C87" s="1" t="s">
        <v>29</v>
      </c>
      <c r="D87" s="2">
        <v>46</v>
      </c>
      <c r="E87" s="2">
        <v>19</v>
      </c>
      <c r="F87" s="2">
        <v>59</v>
      </c>
      <c r="G87" s="2">
        <v>58</v>
      </c>
      <c r="H87" s="2">
        <v>33</v>
      </c>
      <c r="I87" s="3">
        <f t="shared" si="3"/>
        <v>215</v>
      </c>
      <c r="J87" s="3">
        <v>500</v>
      </c>
      <c r="K87" s="4">
        <f t="shared" si="4"/>
        <v>0.43</v>
      </c>
      <c r="L87" s="7">
        <f t="shared" si="5"/>
        <v>0.57000000000000006</v>
      </c>
    </row>
    <row r="88" spans="1:12" x14ac:dyDescent="0.3">
      <c r="A88" s="6" t="s">
        <v>192</v>
      </c>
      <c r="B88" s="1" t="s">
        <v>193</v>
      </c>
      <c r="C88" s="1" t="s">
        <v>32</v>
      </c>
      <c r="D88" s="2">
        <v>34</v>
      </c>
      <c r="E88" s="2">
        <v>15</v>
      </c>
      <c r="F88" s="2">
        <v>43</v>
      </c>
      <c r="G88" s="2">
        <v>63</v>
      </c>
      <c r="H88" s="2">
        <v>54</v>
      </c>
      <c r="I88" s="3">
        <f t="shared" si="3"/>
        <v>209</v>
      </c>
      <c r="J88" s="3">
        <v>500</v>
      </c>
      <c r="K88" s="4">
        <f t="shared" si="4"/>
        <v>0.41799999999999998</v>
      </c>
      <c r="L88" s="7">
        <f t="shared" si="5"/>
        <v>0.58200000000000007</v>
      </c>
    </row>
    <row r="89" spans="1:12" x14ac:dyDescent="0.3">
      <c r="A89" s="6" t="s">
        <v>194</v>
      </c>
      <c r="B89" s="1" t="s">
        <v>195</v>
      </c>
      <c r="C89" s="1" t="s">
        <v>35</v>
      </c>
      <c r="D89" s="2">
        <v>32</v>
      </c>
      <c r="E89" s="2">
        <v>79</v>
      </c>
      <c r="F89" s="2">
        <v>65</v>
      </c>
      <c r="G89" s="2">
        <v>57</v>
      </c>
      <c r="H89" s="2">
        <v>73</v>
      </c>
      <c r="I89" s="3">
        <f t="shared" si="3"/>
        <v>306</v>
      </c>
      <c r="J89" s="3">
        <v>500</v>
      </c>
      <c r="K89" s="4">
        <f t="shared" si="4"/>
        <v>0.61199999999999999</v>
      </c>
      <c r="L89" s="7">
        <f t="shared" si="5"/>
        <v>0.38800000000000001</v>
      </c>
    </row>
    <row r="90" spans="1:12" x14ac:dyDescent="0.3">
      <c r="A90" s="6" t="s">
        <v>196</v>
      </c>
      <c r="B90" s="1" t="s">
        <v>197</v>
      </c>
      <c r="C90" s="1" t="s">
        <v>14</v>
      </c>
      <c r="D90" s="2">
        <v>72</v>
      </c>
      <c r="E90" s="2">
        <v>82</v>
      </c>
      <c r="F90" s="2">
        <v>58</v>
      </c>
      <c r="G90" s="2">
        <v>36</v>
      </c>
      <c r="H90" s="2">
        <v>33</v>
      </c>
      <c r="I90" s="3">
        <f t="shared" si="3"/>
        <v>281</v>
      </c>
      <c r="J90" s="3">
        <v>500</v>
      </c>
      <c r="K90" s="4">
        <f t="shared" si="4"/>
        <v>0.56200000000000006</v>
      </c>
      <c r="L90" s="7">
        <f t="shared" si="5"/>
        <v>0.43799999999999994</v>
      </c>
    </row>
    <row r="91" spans="1:12" x14ac:dyDescent="0.3">
      <c r="A91" s="6" t="s">
        <v>198</v>
      </c>
      <c r="B91" s="1" t="s">
        <v>199</v>
      </c>
      <c r="C91" s="1" t="s">
        <v>17</v>
      </c>
      <c r="D91" s="2">
        <v>11</v>
      </c>
      <c r="E91" s="2">
        <v>69</v>
      </c>
      <c r="F91" s="2">
        <v>49</v>
      </c>
      <c r="G91" s="2">
        <v>90</v>
      </c>
      <c r="H91" s="2">
        <v>99</v>
      </c>
      <c r="I91" s="3">
        <f t="shared" si="3"/>
        <v>318</v>
      </c>
      <c r="J91" s="3">
        <v>500</v>
      </c>
      <c r="K91" s="4">
        <f t="shared" si="4"/>
        <v>0.63600000000000001</v>
      </c>
      <c r="L91" s="7">
        <f t="shared" si="5"/>
        <v>0.36399999999999999</v>
      </c>
    </row>
    <row r="92" spans="1:12" x14ac:dyDescent="0.3">
      <c r="A92" s="6" t="s">
        <v>200</v>
      </c>
      <c r="B92" s="1" t="s">
        <v>201</v>
      </c>
      <c r="C92" s="1" t="s">
        <v>20</v>
      </c>
      <c r="D92" s="2">
        <v>80</v>
      </c>
      <c r="E92" s="2">
        <v>73</v>
      </c>
      <c r="F92" s="2">
        <v>21</v>
      </c>
      <c r="G92" s="2">
        <v>72</v>
      </c>
      <c r="H92" s="2">
        <v>54</v>
      </c>
      <c r="I92" s="3">
        <f t="shared" si="3"/>
        <v>300</v>
      </c>
      <c r="J92" s="3">
        <v>500</v>
      </c>
      <c r="K92" s="4">
        <f t="shared" si="4"/>
        <v>0.6</v>
      </c>
      <c r="L92" s="7">
        <f t="shared" si="5"/>
        <v>0.4</v>
      </c>
    </row>
    <row r="93" spans="1:12" x14ac:dyDescent="0.3">
      <c r="A93" s="6" t="s">
        <v>202</v>
      </c>
      <c r="B93" s="1" t="s">
        <v>203</v>
      </c>
      <c r="C93" s="1" t="s">
        <v>23</v>
      </c>
      <c r="D93" s="2">
        <v>93</v>
      </c>
      <c r="E93" s="2">
        <v>42</v>
      </c>
      <c r="F93" s="2">
        <v>38</v>
      </c>
      <c r="G93" s="2">
        <v>98</v>
      </c>
      <c r="H93" s="2">
        <v>10</v>
      </c>
      <c r="I93" s="3">
        <f t="shared" si="3"/>
        <v>281</v>
      </c>
      <c r="J93" s="3">
        <v>500</v>
      </c>
      <c r="K93" s="4">
        <f t="shared" si="4"/>
        <v>0.56200000000000006</v>
      </c>
      <c r="L93" s="7">
        <f t="shared" si="5"/>
        <v>0.43799999999999994</v>
      </c>
    </row>
    <row r="94" spans="1:12" x14ac:dyDescent="0.3">
      <c r="A94" s="6" t="s">
        <v>204</v>
      </c>
      <c r="B94" s="1" t="s">
        <v>205</v>
      </c>
      <c r="C94" s="1" t="s">
        <v>26</v>
      </c>
      <c r="D94" s="2">
        <v>18</v>
      </c>
      <c r="E94" s="2">
        <v>80</v>
      </c>
      <c r="F94" s="2">
        <v>20</v>
      </c>
      <c r="G94" s="2">
        <v>32</v>
      </c>
      <c r="H94" s="2">
        <v>95</v>
      </c>
      <c r="I94" s="3">
        <f t="shared" si="3"/>
        <v>245</v>
      </c>
      <c r="J94" s="3">
        <v>500</v>
      </c>
      <c r="K94" s="4">
        <f t="shared" si="4"/>
        <v>0.49</v>
      </c>
      <c r="L94" s="7">
        <f t="shared" si="5"/>
        <v>0.51</v>
      </c>
    </row>
    <row r="95" spans="1:12" x14ac:dyDescent="0.3">
      <c r="A95" s="6" t="s">
        <v>206</v>
      </c>
      <c r="B95" s="1" t="s">
        <v>207</v>
      </c>
      <c r="C95" s="1" t="s">
        <v>29</v>
      </c>
      <c r="D95" s="2">
        <v>96</v>
      </c>
      <c r="E95" s="2">
        <v>14</v>
      </c>
      <c r="F95" s="2">
        <v>20</v>
      </c>
      <c r="G95" s="2">
        <v>31</v>
      </c>
      <c r="H95" s="2">
        <v>44</v>
      </c>
      <c r="I95" s="3">
        <f t="shared" si="3"/>
        <v>205</v>
      </c>
      <c r="J95" s="3">
        <v>500</v>
      </c>
      <c r="K95" s="4">
        <f t="shared" si="4"/>
        <v>0.41</v>
      </c>
      <c r="L95" s="7">
        <f t="shared" si="5"/>
        <v>0.59000000000000008</v>
      </c>
    </row>
    <row r="96" spans="1:12" x14ac:dyDescent="0.3">
      <c r="A96" s="6" t="s">
        <v>208</v>
      </c>
      <c r="B96" s="1" t="s">
        <v>209</v>
      </c>
      <c r="C96" s="1" t="s">
        <v>32</v>
      </c>
      <c r="D96" s="2">
        <v>37</v>
      </c>
      <c r="E96" s="2">
        <v>60</v>
      </c>
      <c r="F96" s="2">
        <v>50</v>
      </c>
      <c r="G96" s="2">
        <v>68</v>
      </c>
      <c r="H96" s="2">
        <v>19</v>
      </c>
      <c r="I96" s="3">
        <f t="shared" si="3"/>
        <v>234</v>
      </c>
      <c r="J96" s="3">
        <v>500</v>
      </c>
      <c r="K96" s="4">
        <f t="shared" si="4"/>
        <v>0.46800000000000003</v>
      </c>
      <c r="L96" s="7">
        <f t="shared" si="5"/>
        <v>0.53200000000000003</v>
      </c>
    </row>
    <row r="97" spans="1:12" x14ac:dyDescent="0.3">
      <c r="A97" s="6" t="s">
        <v>210</v>
      </c>
      <c r="B97" s="1" t="s">
        <v>211</v>
      </c>
      <c r="C97" s="1" t="s">
        <v>35</v>
      </c>
      <c r="D97" s="2">
        <v>35</v>
      </c>
      <c r="E97" s="2">
        <v>79</v>
      </c>
      <c r="F97" s="2">
        <v>17</v>
      </c>
      <c r="G97" s="2">
        <v>85</v>
      </c>
      <c r="H97" s="2">
        <v>16</v>
      </c>
      <c r="I97" s="3">
        <f t="shared" si="3"/>
        <v>232</v>
      </c>
      <c r="J97" s="3">
        <v>500</v>
      </c>
      <c r="K97" s="4">
        <f t="shared" si="4"/>
        <v>0.46400000000000002</v>
      </c>
      <c r="L97" s="7">
        <f t="shared" si="5"/>
        <v>0.53600000000000003</v>
      </c>
    </row>
    <row r="98" spans="1:12" x14ac:dyDescent="0.3">
      <c r="A98" s="6" t="s">
        <v>212</v>
      </c>
      <c r="B98" s="1" t="s">
        <v>213</v>
      </c>
      <c r="C98" s="1" t="s">
        <v>14</v>
      </c>
      <c r="D98" s="2">
        <v>31</v>
      </c>
      <c r="E98" s="2">
        <v>48</v>
      </c>
      <c r="F98" s="2">
        <v>56</v>
      </c>
      <c r="G98" s="2">
        <v>85</v>
      </c>
      <c r="H98" s="2">
        <v>25</v>
      </c>
      <c r="I98" s="3">
        <f t="shared" si="3"/>
        <v>245</v>
      </c>
      <c r="J98" s="3">
        <v>500</v>
      </c>
      <c r="K98" s="4">
        <f t="shared" si="4"/>
        <v>0.49</v>
      </c>
      <c r="L98" s="7">
        <f t="shared" si="5"/>
        <v>0.51</v>
      </c>
    </row>
    <row r="99" spans="1:12" x14ac:dyDescent="0.3">
      <c r="A99" s="6" t="s">
        <v>214</v>
      </c>
      <c r="B99" s="1" t="s">
        <v>215</v>
      </c>
      <c r="C99" s="1" t="s">
        <v>17</v>
      </c>
      <c r="D99" s="2">
        <v>23</v>
      </c>
      <c r="E99" s="2">
        <v>83</v>
      </c>
      <c r="F99" s="2">
        <v>86</v>
      </c>
      <c r="G99" s="2">
        <v>69</v>
      </c>
      <c r="H99" s="2">
        <v>25</v>
      </c>
      <c r="I99" s="3">
        <f t="shared" si="3"/>
        <v>286</v>
      </c>
      <c r="J99" s="3">
        <v>500</v>
      </c>
      <c r="K99" s="4">
        <f t="shared" si="4"/>
        <v>0.57199999999999995</v>
      </c>
      <c r="L99" s="7">
        <f t="shared" si="5"/>
        <v>0.42800000000000005</v>
      </c>
    </row>
    <row r="100" spans="1:12" x14ac:dyDescent="0.3">
      <c r="A100" s="6" t="s">
        <v>216</v>
      </c>
      <c r="B100" s="1" t="s">
        <v>217</v>
      </c>
      <c r="C100" s="1" t="s">
        <v>20</v>
      </c>
      <c r="D100" s="2">
        <v>17</v>
      </c>
      <c r="E100" s="2">
        <v>97</v>
      </c>
      <c r="F100" s="2">
        <v>81</v>
      </c>
      <c r="G100" s="2">
        <v>32</v>
      </c>
      <c r="H100" s="2">
        <v>76</v>
      </c>
      <c r="I100" s="3">
        <f t="shared" si="3"/>
        <v>303</v>
      </c>
      <c r="J100" s="3">
        <v>500</v>
      </c>
      <c r="K100" s="4">
        <f t="shared" si="4"/>
        <v>0.60599999999999998</v>
      </c>
      <c r="L100" s="7">
        <f t="shared" si="5"/>
        <v>0.39400000000000002</v>
      </c>
    </row>
    <row r="101" spans="1:12" x14ac:dyDescent="0.3">
      <c r="A101" s="6" t="s">
        <v>218</v>
      </c>
      <c r="B101" s="1" t="s">
        <v>219</v>
      </c>
      <c r="C101" s="1" t="s">
        <v>23</v>
      </c>
      <c r="D101" s="2">
        <v>92</v>
      </c>
      <c r="E101" s="2">
        <v>45</v>
      </c>
      <c r="F101" s="2">
        <v>43</v>
      </c>
      <c r="G101" s="2">
        <v>91</v>
      </c>
      <c r="H101" s="2">
        <v>47</v>
      </c>
      <c r="I101" s="3">
        <f t="shared" si="3"/>
        <v>318</v>
      </c>
      <c r="J101" s="3">
        <v>500</v>
      </c>
      <c r="K101" s="4">
        <f t="shared" si="4"/>
        <v>0.63600000000000001</v>
      </c>
      <c r="L101" s="7">
        <f t="shared" si="5"/>
        <v>0.36399999999999999</v>
      </c>
    </row>
    <row r="102" spans="1:12" x14ac:dyDescent="0.3">
      <c r="A102" s="6" t="s">
        <v>220</v>
      </c>
      <c r="B102" s="1" t="s">
        <v>221</v>
      </c>
      <c r="C102" s="1" t="s">
        <v>26</v>
      </c>
      <c r="D102" s="2">
        <v>49</v>
      </c>
      <c r="E102" s="2">
        <v>77</v>
      </c>
      <c r="F102" s="2">
        <v>18</v>
      </c>
      <c r="G102" s="2">
        <v>69</v>
      </c>
      <c r="H102" s="2">
        <v>55</v>
      </c>
      <c r="I102" s="3">
        <f t="shared" si="3"/>
        <v>268</v>
      </c>
      <c r="J102" s="3">
        <v>500</v>
      </c>
      <c r="K102" s="4">
        <f t="shared" si="4"/>
        <v>0.53600000000000003</v>
      </c>
      <c r="L102" s="7">
        <f t="shared" si="5"/>
        <v>0.46399999999999997</v>
      </c>
    </row>
    <row r="103" spans="1:12" x14ac:dyDescent="0.3">
      <c r="A103" s="6" t="s">
        <v>222</v>
      </c>
      <c r="B103" s="1" t="s">
        <v>223</v>
      </c>
      <c r="C103" s="1" t="s">
        <v>29</v>
      </c>
      <c r="D103" s="2">
        <v>81</v>
      </c>
      <c r="E103" s="2">
        <v>88</v>
      </c>
      <c r="F103" s="2">
        <v>19</v>
      </c>
      <c r="G103" s="2">
        <v>95</v>
      </c>
      <c r="H103" s="2">
        <v>39</v>
      </c>
      <c r="I103" s="3">
        <f t="shared" si="3"/>
        <v>322</v>
      </c>
      <c r="J103" s="3">
        <v>500</v>
      </c>
      <c r="K103" s="4">
        <f t="shared" si="4"/>
        <v>0.64400000000000002</v>
      </c>
      <c r="L103" s="7">
        <f t="shared" si="5"/>
        <v>0.35599999999999998</v>
      </c>
    </row>
    <row r="104" spans="1:12" x14ac:dyDescent="0.3">
      <c r="A104" s="6" t="s">
        <v>224</v>
      </c>
      <c r="B104" s="1" t="s">
        <v>225</v>
      </c>
      <c r="C104" s="1" t="s">
        <v>32</v>
      </c>
      <c r="D104" s="2">
        <v>55</v>
      </c>
      <c r="E104" s="2">
        <v>14</v>
      </c>
      <c r="F104" s="2">
        <v>41</v>
      </c>
      <c r="G104" s="2">
        <v>40</v>
      </c>
      <c r="H104" s="2">
        <v>70</v>
      </c>
      <c r="I104" s="3">
        <f t="shared" si="3"/>
        <v>220</v>
      </c>
      <c r="J104" s="3">
        <v>500</v>
      </c>
      <c r="K104" s="4">
        <f t="shared" si="4"/>
        <v>0.44</v>
      </c>
      <c r="L104" s="7">
        <f t="shared" si="5"/>
        <v>0.56000000000000005</v>
      </c>
    </row>
    <row r="105" spans="1:12" x14ac:dyDescent="0.3">
      <c r="A105" s="6" t="s">
        <v>226</v>
      </c>
      <c r="B105" s="1" t="s">
        <v>227</v>
      </c>
      <c r="C105" s="1" t="s">
        <v>35</v>
      </c>
      <c r="D105" s="2">
        <v>86</v>
      </c>
      <c r="E105" s="2">
        <v>13</v>
      </c>
      <c r="F105" s="2">
        <v>99</v>
      </c>
      <c r="G105" s="2">
        <v>25</v>
      </c>
      <c r="H105" s="2">
        <v>83</v>
      </c>
      <c r="I105" s="3">
        <f t="shared" si="3"/>
        <v>306</v>
      </c>
      <c r="J105" s="3">
        <v>500</v>
      </c>
      <c r="K105" s="4">
        <f t="shared" si="4"/>
        <v>0.61199999999999999</v>
      </c>
      <c r="L105" s="7">
        <f t="shared" si="5"/>
        <v>0.38800000000000001</v>
      </c>
    </row>
    <row r="106" spans="1:12" x14ac:dyDescent="0.3">
      <c r="A106" s="6" t="s">
        <v>228</v>
      </c>
      <c r="B106" s="1" t="s">
        <v>229</v>
      </c>
      <c r="C106" s="1" t="s">
        <v>14</v>
      </c>
      <c r="D106" s="2">
        <v>88</v>
      </c>
      <c r="E106" s="2">
        <v>96</v>
      </c>
      <c r="F106" s="2">
        <v>16</v>
      </c>
      <c r="G106" s="2">
        <v>65</v>
      </c>
      <c r="H106" s="2">
        <v>86</v>
      </c>
      <c r="I106" s="3">
        <f t="shared" si="3"/>
        <v>351</v>
      </c>
      <c r="J106" s="3">
        <v>500</v>
      </c>
      <c r="K106" s="4">
        <f t="shared" si="4"/>
        <v>0.70199999999999996</v>
      </c>
      <c r="L106" s="7">
        <f t="shared" si="5"/>
        <v>0.29800000000000004</v>
      </c>
    </row>
    <row r="107" spans="1:12" x14ac:dyDescent="0.3">
      <c r="A107" s="6" t="s">
        <v>230</v>
      </c>
      <c r="B107" s="1" t="s">
        <v>231</v>
      </c>
      <c r="C107" s="1" t="s">
        <v>17</v>
      </c>
      <c r="D107" s="2">
        <v>61</v>
      </c>
      <c r="E107" s="2">
        <v>73</v>
      </c>
      <c r="F107" s="2">
        <v>34</v>
      </c>
      <c r="G107" s="2">
        <v>30</v>
      </c>
      <c r="H107" s="2">
        <v>30</v>
      </c>
      <c r="I107" s="3">
        <f t="shared" si="3"/>
        <v>228</v>
      </c>
      <c r="J107" s="3">
        <v>500</v>
      </c>
      <c r="K107" s="4">
        <f t="shared" si="4"/>
        <v>0.45600000000000002</v>
      </c>
      <c r="L107" s="7">
        <f t="shared" si="5"/>
        <v>0.54400000000000004</v>
      </c>
    </row>
    <row r="108" spans="1:12" x14ac:dyDescent="0.3">
      <c r="A108" s="6" t="s">
        <v>232</v>
      </c>
      <c r="B108" s="1" t="s">
        <v>233</v>
      </c>
      <c r="C108" s="1" t="s">
        <v>20</v>
      </c>
      <c r="D108" s="2">
        <v>61</v>
      </c>
      <c r="E108" s="2">
        <v>91</v>
      </c>
      <c r="F108" s="2">
        <v>53</v>
      </c>
      <c r="G108" s="2">
        <v>78</v>
      </c>
      <c r="H108" s="2">
        <v>91</v>
      </c>
      <c r="I108" s="3">
        <f t="shared" si="3"/>
        <v>374</v>
      </c>
      <c r="J108" s="3">
        <v>500</v>
      </c>
      <c r="K108" s="4">
        <f t="shared" si="4"/>
        <v>0.748</v>
      </c>
      <c r="L108" s="7">
        <f t="shared" si="5"/>
        <v>0.252</v>
      </c>
    </row>
    <row r="109" spans="1:12" x14ac:dyDescent="0.3">
      <c r="A109" s="6" t="s">
        <v>234</v>
      </c>
      <c r="B109" s="1" t="s">
        <v>235</v>
      </c>
      <c r="C109" s="1" t="s">
        <v>23</v>
      </c>
      <c r="D109" s="2">
        <v>75</v>
      </c>
      <c r="E109" s="2">
        <v>53</v>
      </c>
      <c r="F109" s="2">
        <v>27</v>
      </c>
      <c r="G109" s="2">
        <v>26</v>
      </c>
      <c r="H109" s="2">
        <v>30</v>
      </c>
      <c r="I109" s="3">
        <f t="shared" si="3"/>
        <v>211</v>
      </c>
      <c r="J109" s="3">
        <v>500</v>
      </c>
      <c r="K109" s="4">
        <f t="shared" si="4"/>
        <v>0.42199999999999999</v>
      </c>
      <c r="L109" s="7">
        <f t="shared" si="5"/>
        <v>0.57800000000000007</v>
      </c>
    </row>
    <row r="110" spans="1:12" x14ac:dyDescent="0.3">
      <c r="A110" s="6" t="s">
        <v>236</v>
      </c>
      <c r="B110" s="1" t="s">
        <v>237</v>
      </c>
      <c r="C110" s="1" t="s">
        <v>26</v>
      </c>
      <c r="D110" s="2">
        <v>24</v>
      </c>
      <c r="E110" s="2">
        <v>31</v>
      </c>
      <c r="F110" s="2">
        <v>41</v>
      </c>
      <c r="G110" s="2">
        <v>57</v>
      </c>
      <c r="H110" s="2">
        <v>83</v>
      </c>
      <c r="I110" s="3">
        <f t="shared" si="3"/>
        <v>236</v>
      </c>
      <c r="J110" s="3">
        <v>500</v>
      </c>
      <c r="K110" s="4">
        <f t="shared" si="4"/>
        <v>0.47199999999999998</v>
      </c>
      <c r="L110" s="7">
        <f t="shared" si="5"/>
        <v>0.52800000000000002</v>
      </c>
    </row>
    <row r="111" spans="1:12" x14ac:dyDescent="0.3">
      <c r="A111" s="6" t="s">
        <v>238</v>
      </c>
      <c r="B111" s="1" t="s">
        <v>239</v>
      </c>
      <c r="C111" s="1" t="s">
        <v>29</v>
      </c>
      <c r="D111" s="2">
        <v>83</v>
      </c>
      <c r="E111" s="2">
        <v>62</v>
      </c>
      <c r="F111" s="2">
        <v>32</v>
      </c>
      <c r="G111" s="2">
        <v>83</v>
      </c>
      <c r="H111" s="2">
        <v>95</v>
      </c>
      <c r="I111" s="3">
        <f t="shared" si="3"/>
        <v>355</v>
      </c>
      <c r="J111" s="3">
        <v>500</v>
      </c>
      <c r="K111" s="4">
        <f t="shared" si="4"/>
        <v>0.71</v>
      </c>
      <c r="L111" s="7">
        <f t="shared" si="5"/>
        <v>0.29000000000000004</v>
      </c>
    </row>
    <row r="112" spans="1:12" x14ac:dyDescent="0.3">
      <c r="A112" s="6" t="s">
        <v>240</v>
      </c>
      <c r="B112" s="1" t="s">
        <v>241</v>
      </c>
      <c r="C112" s="1" t="s">
        <v>32</v>
      </c>
      <c r="D112" s="2">
        <v>39</v>
      </c>
      <c r="E112" s="2">
        <v>52</v>
      </c>
      <c r="F112" s="2">
        <v>72</v>
      </c>
      <c r="G112" s="2">
        <v>99</v>
      </c>
      <c r="H112" s="2">
        <v>58</v>
      </c>
      <c r="I112" s="3">
        <f t="shared" si="3"/>
        <v>320</v>
      </c>
      <c r="J112" s="3">
        <v>500</v>
      </c>
      <c r="K112" s="4">
        <f t="shared" si="4"/>
        <v>0.64</v>
      </c>
      <c r="L112" s="7">
        <f t="shared" si="5"/>
        <v>0.36</v>
      </c>
    </row>
    <row r="113" spans="1:12" x14ac:dyDescent="0.3">
      <c r="A113" s="6" t="s">
        <v>242</v>
      </c>
      <c r="B113" s="1" t="s">
        <v>243</v>
      </c>
      <c r="C113" s="1" t="s">
        <v>35</v>
      </c>
      <c r="D113" s="2">
        <v>93</v>
      </c>
      <c r="E113" s="2">
        <v>74</v>
      </c>
      <c r="F113" s="2">
        <v>85</v>
      </c>
      <c r="G113" s="2">
        <v>47</v>
      </c>
      <c r="H113" s="2">
        <v>90</v>
      </c>
      <c r="I113" s="3">
        <f t="shared" si="3"/>
        <v>389</v>
      </c>
      <c r="J113" s="3">
        <v>500</v>
      </c>
      <c r="K113" s="4">
        <f t="shared" si="4"/>
        <v>0.77800000000000002</v>
      </c>
      <c r="L113" s="7">
        <f t="shared" si="5"/>
        <v>0.22199999999999998</v>
      </c>
    </row>
    <row r="114" spans="1:12" x14ac:dyDescent="0.3">
      <c r="A114" s="6" t="s">
        <v>244</v>
      </c>
      <c r="B114" s="1" t="s">
        <v>245</v>
      </c>
      <c r="C114" s="1" t="s">
        <v>14</v>
      </c>
      <c r="D114" s="2">
        <v>43</v>
      </c>
      <c r="E114" s="2">
        <v>88</v>
      </c>
      <c r="F114" s="2">
        <v>35</v>
      </c>
      <c r="G114" s="2">
        <v>54</v>
      </c>
      <c r="H114" s="2">
        <v>91</v>
      </c>
      <c r="I114" s="3">
        <f t="shared" si="3"/>
        <v>311</v>
      </c>
      <c r="J114" s="3">
        <v>500</v>
      </c>
      <c r="K114" s="4">
        <f t="shared" si="4"/>
        <v>0.622</v>
      </c>
      <c r="L114" s="7">
        <f t="shared" si="5"/>
        <v>0.378</v>
      </c>
    </row>
    <row r="115" spans="1:12" x14ac:dyDescent="0.3">
      <c r="A115" s="6" t="s">
        <v>246</v>
      </c>
      <c r="B115" s="1" t="s">
        <v>247</v>
      </c>
      <c r="C115" s="1" t="s">
        <v>17</v>
      </c>
      <c r="D115" s="2">
        <v>87</v>
      </c>
      <c r="E115" s="2">
        <v>15</v>
      </c>
      <c r="F115" s="2">
        <v>11</v>
      </c>
      <c r="G115" s="2">
        <v>42</v>
      </c>
      <c r="H115" s="2">
        <v>88</v>
      </c>
      <c r="I115" s="3">
        <f t="shared" si="3"/>
        <v>243</v>
      </c>
      <c r="J115" s="3">
        <v>500</v>
      </c>
      <c r="K115" s="4">
        <f t="shared" si="4"/>
        <v>0.48599999999999999</v>
      </c>
      <c r="L115" s="7">
        <f t="shared" si="5"/>
        <v>0.51400000000000001</v>
      </c>
    </row>
    <row r="116" spans="1:12" x14ac:dyDescent="0.3">
      <c r="A116" s="6" t="s">
        <v>248</v>
      </c>
      <c r="B116" s="1" t="s">
        <v>249</v>
      </c>
      <c r="C116" s="1" t="s">
        <v>20</v>
      </c>
      <c r="D116" s="2">
        <v>45</v>
      </c>
      <c r="E116" s="2">
        <v>45</v>
      </c>
      <c r="F116" s="2">
        <v>61</v>
      </c>
      <c r="G116" s="2">
        <v>11</v>
      </c>
      <c r="H116" s="2">
        <v>52</v>
      </c>
      <c r="I116" s="3">
        <f t="shared" si="3"/>
        <v>214</v>
      </c>
      <c r="J116" s="3">
        <v>500</v>
      </c>
      <c r="K116" s="4">
        <f t="shared" si="4"/>
        <v>0.42799999999999999</v>
      </c>
      <c r="L116" s="7">
        <f t="shared" si="5"/>
        <v>0.57200000000000006</v>
      </c>
    </row>
    <row r="117" spans="1:12" x14ac:dyDescent="0.3">
      <c r="A117" s="6" t="s">
        <v>250</v>
      </c>
      <c r="B117" s="1" t="s">
        <v>251</v>
      </c>
      <c r="C117" s="1" t="s">
        <v>23</v>
      </c>
      <c r="D117" s="2">
        <v>71</v>
      </c>
      <c r="E117" s="2">
        <v>42</v>
      </c>
      <c r="F117" s="2">
        <v>17</v>
      </c>
      <c r="G117" s="2">
        <v>57</v>
      </c>
      <c r="H117" s="2">
        <v>96</v>
      </c>
      <c r="I117" s="3">
        <f t="shared" si="3"/>
        <v>283</v>
      </c>
      <c r="J117" s="3">
        <v>500</v>
      </c>
      <c r="K117" s="4">
        <f t="shared" si="4"/>
        <v>0.56599999999999995</v>
      </c>
      <c r="L117" s="7">
        <f t="shared" si="5"/>
        <v>0.43400000000000005</v>
      </c>
    </row>
    <row r="118" spans="1:12" x14ac:dyDescent="0.3">
      <c r="A118" s="6" t="s">
        <v>252</v>
      </c>
      <c r="B118" s="1" t="s">
        <v>253</v>
      </c>
      <c r="C118" s="1" t="s">
        <v>26</v>
      </c>
      <c r="D118" s="2">
        <v>26</v>
      </c>
      <c r="E118" s="2">
        <v>65</v>
      </c>
      <c r="F118" s="2">
        <v>17</v>
      </c>
      <c r="G118" s="2">
        <v>28</v>
      </c>
      <c r="H118" s="2">
        <v>30</v>
      </c>
      <c r="I118" s="3">
        <f t="shared" si="3"/>
        <v>166</v>
      </c>
      <c r="J118" s="3">
        <v>500</v>
      </c>
      <c r="K118" s="4">
        <f t="shared" si="4"/>
        <v>0.33200000000000002</v>
      </c>
      <c r="L118" s="7">
        <f t="shared" si="5"/>
        <v>0.66799999999999993</v>
      </c>
    </row>
    <row r="119" spans="1:12" x14ac:dyDescent="0.3">
      <c r="A119" s="6" t="s">
        <v>254</v>
      </c>
      <c r="B119" s="1" t="s">
        <v>255</v>
      </c>
      <c r="C119" s="1" t="s">
        <v>29</v>
      </c>
      <c r="D119" s="2">
        <v>26</v>
      </c>
      <c r="E119" s="2">
        <v>61</v>
      </c>
      <c r="F119" s="2">
        <v>89</v>
      </c>
      <c r="G119" s="2">
        <v>71</v>
      </c>
      <c r="H119" s="2">
        <v>33</v>
      </c>
      <c r="I119" s="3">
        <f t="shared" si="3"/>
        <v>280</v>
      </c>
      <c r="J119" s="3">
        <v>500</v>
      </c>
      <c r="K119" s="4">
        <f t="shared" si="4"/>
        <v>0.56000000000000005</v>
      </c>
      <c r="L119" s="7">
        <f t="shared" si="5"/>
        <v>0.43999999999999995</v>
      </c>
    </row>
    <row r="120" spans="1:12" x14ac:dyDescent="0.3">
      <c r="A120" s="6" t="s">
        <v>256</v>
      </c>
      <c r="B120" s="1" t="s">
        <v>257</v>
      </c>
      <c r="C120" s="1" t="s">
        <v>32</v>
      </c>
      <c r="D120" s="2">
        <v>93</v>
      </c>
      <c r="E120" s="2">
        <v>11</v>
      </c>
      <c r="F120" s="2">
        <v>93</v>
      </c>
      <c r="G120" s="2">
        <v>31</v>
      </c>
      <c r="H120" s="2">
        <v>30</v>
      </c>
      <c r="I120" s="3">
        <f t="shared" si="3"/>
        <v>258</v>
      </c>
      <c r="J120" s="3">
        <v>500</v>
      </c>
      <c r="K120" s="4">
        <f t="shared" si="4"/>
        <v>0.51600000000000001</v>
      </c>
      <c r="L120" s="7">
        <f t="shared" si="5"/>
        <v>0.48399999999999999</v>
      </c>
    </row>
    <row r="121" spans="1:12" x14ac:dyDescent="0.3">
      <c r="A121" s="6" t="s">
        <v>258</v>
      </c>
      <c r="B121" s="1" t="s">
        <v>259</v>
      </c>
      <c r="C121" s="1" t="s">
        <v>35</v>
      </c>
      <c r="D121" s="2">
        <v>65</v>
      </c>
      <c r="E121" s="2">
        <v>92</v>
      </c>
      <c r="F121" s="2">
        <v>48</v>
      </c>
      <c r="G121" s="2">
        <v>96</v>
      </c>
      <c r="H121" s="2">
        <v>15</v>
      </c>
      <c r="I121" s="3">
        <f t="shared" si="3"/>
        <v>316</v>
      </c>
      <c r="J121" s="3">
        <v>500</v>
      </c>
      <c r="K121" s="4">
        <f t="shared" si="4"/>
        <v>0.63200000000000001</v>
      </c>
      <c r="L121" s="7">
        <f t="shared" si="5"/>
        <v>0.36799999999999999</v>
      </c>
    </row>
    <row r="122" spans="1:12" x14ac:dyDescent="0.3">
      <c r="A122" s="6" t="s">
        <v>260</v>
      </c>
      <c r="B122" s="1" t="s">
        <v>261</v>
      </c>
      <c r="C122" s="1" t="s">
        <v>14</v>
      </c>
      <c r="D122" s="2">
        <v>91</v>
      </c>
      <c r="E122" s="2">
        <v>38</v>
      </c>
      <c r="F122" s="2">
        <v>33</v>
      </c>
      <c r="G122" s="2">
        <v>55</v>
      </c>
      <c r="H122" s="2">
        <v>83</v>
      </c>
      <c r="I122" s="3">
        <f t="shared" si="3"/>
        <v>300</v>
      </c>
      <c r="J122" s="3">
        <v>500</v>
      </c>
      <c r="K122" s="4">
        <f t="shared" si="4"/>
        <v>0.6</v>
      </c>
      <c r="L122" s="7">
        <f t="shared" si="5"/>
        <v>0.4</v>
      </c>
    </row>
    <row r="123" spans="1:12" x14ac:dyDescent="0.3">
      <c r="A123" s="6" t="s">
        <v>262</v>
      </c>
      <c r="B123" s="1" t="s">
        <v>263</v>
      </c>
      <c r="C123" s="1" t="s">
        <v>17</v>
      </c>
      <c r="D123" s="2">
        <v>20</v>
      </c>
      <c r="E123" s="2">
        <v>94</v>
      </c>
      <c r="F123" s="2">
        <v>45</v>
      </c>
      <c r="G123" s="2">
        <v>70</v>
      </c>
      <c r="H123" s="2">
        <v>98</v>
      </c>
      <c r="I123" s="3">
        <f t="shared" si="3"/>
        <v>327</v>
      </c>
      <c r="J123" s="3">
        <v>500</v>
      </c>
      <c r="K123" s="4">
        <f t="shared" si="4"/>
        <v>0.65400000000000003</v>
      </c>
      <c r="L123" s="7">
        <f t="shared" si="5"/>
        <v>0.34599999999999997</v>
      </c>
    </row>
    <row r="124" spans="1:12" x14ac:dyDescent="0.3">
      <c r="A124" s="6" t="s">
        <v>264</v>
      </c>
      <c r="B124" s="1" t="s">
        <v>265</v>
      </c>
      <c r="C124" s="1" t="s">
        <v>20</v>
      </c>
      <c r="D124" s="2">
        <v>25</v>
      </c>
      <c r="E124" s="2">
        <v>83</v>
      </c>
      <c r="F124" s="2">
        <v>26</v>
      </c>
      <c r="G124" s="2">
        <v>68</v>
      </c>
      <c r="H124" s="2">
        <v>22</v>
      </c>
      <c r="I124" s="3">
        <f t="shared" si="3"/>
        <v>224</v>
      </c>
      <c r="J124" s="3">
        <v>500</v>
      </c>
      <c r="K124" s="4">
        <f t="shared" si="4"/>
        <v>0.44800000000000001</v>
      </c>
      <c r="L124" s="7">
        <f t="shared" si="5"/>
        <v>0.55200000000000005</v>
      </c>
    </row>
    <row r="125" spans="1:12" x14ac:dyDescent="0.3">
      <c r="A125" s="6" t="s">
        <v>266</v>
      </c>
      <c r="B125" s="1" t="s">
        <v>267</v>
      </c>
      <c r="C125" s="1" t="s">
        <v>23</v>
      </c>
      <c r="D125" s="2">
        <v>26</v>
      </c>
      <c r="E125" s="2">
        <v>16</v>
      </c>
      <c r="F125" s="2">
        <v>61</v>
      </c>
      <c r="G125" s="2">
        <v>92</v>
      </c>
      <c r="H125" s="2">
        <v>50</v>
      </c>
      <c r="I125" s="3">
        <f t="shared" si="3"/>
        <v>245</v>
      </c>
      <c r="J125" s="3">
        <v>500</v>
      </c>
      <c r="K125" s="4">
        <f t="shared" si="4"/>
        <v>0.49</v>
      </c>
      <c r="L125" s="7">
        <f t="shared" si="5"/>
        <v>0.51</v>
      </c>
    </row>
    <row r="126" spans="1:12" x14ac:dyDescent="0.3">
      <c r="A126" s="6" t="s">
        <v>268</v>
      </c>
      <c r="B126" s="1" t="s">
        <v>269</v>
      </c>
      <c r="C126" s="1" t="s">
        <v>26</v>
      </c>
      <c r="D126" s="2">
        <v>31</v>
      </c>
      <c r="E126" s="2">
        <v>55</v>
      </c>
      <c r="F126" s="2">
        <v>75</v>
      </c>
      <c r="G126" s="2">
        <v>66</v>
      </c>
      <c r="H126" s="2">
        <v>75</v>
      </c>
      <c r="I126" s="3">
        <f t="shared" si="3"/>
        <v>302</v>
      </c>
      <c r="J126" s="3">
        <v>500</v>
      </c>
      <c r="K126" s="4">
        <f t="shared" si="4"/>
        <v>0.60399999999999998</v>
      </c>
      <c r="L126" s="7">
        <f t="shared" si="5"/>
        <v>0.39600000000000002</v>
      </c>
    </row>
    <row r="127" spans="1:12" x14ac:dyDescent="0.3">
      <c r="A127" s="6" t="s">
        <v>270</v>
      </c>
      <c r="B127" s="1" t="s">
        <v>271</v>
      </c>
      <c r="C127" s="1" t="s">
        <v>29</v>
      </c>
      <c r="D127" s="2">
        <v>41</v>
      </c>
      <c r="E127" s="2">
        <v>66</v>
      </c>
      <c r="F127" s="2">
        <v>48</v>
      </c>
      <c r="G127" s="2">
        <v>70</v>
      </c>
      <c r="H127" s="2">
        <v>48</v>
      </c>
      <c r="I127" s="3">
        <f t="shared" si="3"/>
        <v>273</v>
      </c>
      <c r="J127" s="3">
        <v>500</v>
      </c>
      <c r="K127" s="4">
        <f t="shared" si="4"/>
        <v>0.54600000000000004</v>
      </c>
      <c r="L127" s="7">
        <f t="shared" si="5"/>
        <v>0.45399999999999996</v>
      </c>
    </row>
    <row r="128" spans="1:12" x14ac:dyDescent="0.3">
      <c r="A128" s="6" t="s">
        <v>272</v>
      </c>
      <c r="B128" s="1" t="s">
        <v>273</v>
      </c>
      <c r="C128" s="1" t="s">
        <v>32</v>
      </c>
      <c r="D128" s="2">
        <v>60</v>
      </c>
      <c r="E128" s="2">
        <v>92</v>
      </c>
      <c r="F128" s="2">
        <v>32</v>
      </c>
      <c r="G128" s="2">
        <v>60</v>
      </c>
      <c r="H128" s="2">
        <v>78</v>
      </c>
      <c r="I128" s="3">
        <f t="shared" si="3"/>
        <v>322</v>
      </c>
      <c r="J128" s="3">
        <v>500</v>
      </c>
      <c r="K128" s="4">
        <f t="shared" si="4"/>
        <v>0.64400000000000002</v>
      </c>
      <c r="L128" s="7">
        <f t="shared" si="5"/>
        <v>0.35599999999999998</v>
      </c>
    </row>
    <row r="129" spans="1:12" x14ac:dyDescent="0.3">
      <c r="A129" s="6" t="s">
        <v>274</v>
      </c>
      <c r="B129" s="1" t="s">
        <v>275</v>
      </c>
      <c r="C129" s="1" t="s">
        <v>35</v>
      </c>
      <c r="D129" s="2">
        <v>42</v>
      </c>
      <c r="E129" s="2">
        <v>24</v>
      </c>
      <c r="F129" s="2">
        <v>19</v>
      </c>
      <c r="G129" s="2">
        <v>82</v>
      </c>
      <c r="H129" s="2">
        <v>16</v>
      </c>
      <c r="I129" s="3">
        <f t="shared" si="3"/>
        <v>183</v>
      </c>
      <c r="J129" s="3">
        <v>500</v>
      </c>
      <c r="K129" s="4">
        <f t="shared" si="4"/>
        <v>0.36599999999999999</v>
      </c>
      <c r="L129" s="7">
        <f t="shared" si="5"/>
        <v>0.63400000000000001</v>
      </c>
    </row>
    <row r="130" spans="1:12" x14ac:dyDescent="0.3">
      <c r="A130" s="6" t="s">
        <v>276</v>
      </c>
      <c r="B130" s="1" t="s">
        <v>277</v>
      </c>
      <c r="C130" s="1" t="s">
        <v>14</v>
      </c>
      <c r="D130" s="2">
        <v>26</v>
      </c>
      <c r="E130" s="2">
        <v>85</v>
      </c>
      <c r="F130" s="2">
        <v>75</v>
      </c>
      <c r="G130" s="2">
        <v>83</v>
      </c>
      <c r="H130" s="2">
        <v>37</v>
      </c>
      <c r="I130" s="3">
        <f t="shared" si="3"/>
        <v>306</v>
      </c>
      <c r="J130" s="3">
        <v>500</v>
      </c>
      <c r="K130" s="4">
        <f t="shared" si="4"/>
        <v>0.61199999999999999</v>
      </c>
      <c r="L130" s="7">
        <f t="shared" si="5"/>
        <v>0.38800000000000001</v>
      </c>
    </row>
    <row r="131" spans="1:12" x14ac:dyDescent="0.3">
      <c r="A131" s="6" t="s">
        <v>278</v>
      </c>
      <c r="B131" s="1" t="s">
        <v>279</v>
      </c>
      <c r="C131" s="1" t="s">
        <v>17</v>
      </c>
      <c r="D131" s="2">
        <v>81</v>
      </c>
      <c r="E131" s="2">
        <v>68</v>
      </c>
      <c r="F131" s="2">
        <v>74</v>
      </c>
      <c r="G131" s="2">
        <v>72</v>
      </c>
      <c r="H131" s="2">
        <v>12</v>
      </c>
      <c r="I131" s="3">
        <f t="shared" ref="I131:I142" si="6">SUM(D131:H131)</f>
        <v>307</v>
      </c>
      <c r="J131" s="3">
        <v>500</v>
      </c>
      <c r="K131" s="4">
        <f t="shared" ref="K131:K142" si="7">I131/J131</f>
        <v>0.61399999999999999</v>
      </c>
      <c r="L131" s="7">
        <f t="shared" ref="L131:L142" si="8">100%-K131</f>
        <v>0.38600000000000001</v>
      </c>
    </row>
    <row r="132" spans="1:12" x14ac:dyDescent="0.3">
      <c r="A132" s="6" t="s">
        <v>280</v>
      </c>
      <c r="B132" s="1" t="s">
        <v>281</v>
      </c>
      <c r="C132" s="1" t="s">
        <v>20</v>
      </c>
      <c r="D132" s="2">
        <v>90</v>
      </c>
      <c r="E132" s="2">
        <v>79</v>
      </c>
      <c r="F132" s="2">
        <v>99</v>
      </c>
      <c r="G132" s="2">
        <v>60</v>
      </c>
      <c r="H132" s="2">
        <v>27</v>
      </c>
      <c r="I132" s="3">
        <f t="shared" si="6"/>
        <v>355</v>
      </c>
      <c r="J132" s="3">
        <v>500</v>
      </c>
      <c r="K132" s="4">
        <f t="shared" si="7"/>
        <v>0.71</v>
      </c>
      <c r="L132" s="7">
        <f t="shared" si="8"/>
        <v>0.29000000000000004</v>
      </c>
    </row>
    <row r="133" spans="1:12" x14ac:dyDescent="0.3">
      <c r="A133" s="6" t="s">
        <v>282</v>
      </c>
      <c r="B133" s="1" t="s">
        <v>283</v>
      </c>
      <c r="C133" s="1" t="s">
        <v>23</v>
      </c>
      <c r="D133" s="2">
        <v>71</v>
      </c>
      <c r="E133" s="2">
        <v>21</v>
      </c>
      <c r="F133" s="2">
        <v>70</v>
      </c>
      <c r="G133" s="2">
        <v>53</v>
      </c>
      <c r="H133" s="2">
        <v>49</v>
      </c>
      <c r="I133" s="3">
        <f t="shared" si="6"/>
        <v>264</v>
      </c>
      <c r="J133" s="3">
        <v>500</v>
      </c>
      <c r="K133" s="4">
        <f t="shared" si="7"/>
        <v>0.52800000000000002</v>
      </c>
      <c r="L133" s="7">
        <f t="shared" si="8"/>
        <v>0.47199999999999998</v>
      </c>
    </row>
    <row r="134" spans="1:12" x14ac:dyDescent="0.3">
      <c r="A134" s="6" t="s">
        <v>284</v>
      </c>
      <c r="B134" s="1" t="s">
        <v>285</v>
      </c>
      <c r="C134" s="1" t="s">
        <v>26</v>
      </c>
      <c r="D134" s="2">
        <v>86</v>
      </c>
      <c r="E134" s="2">
        <v>60</v>
      </c>
      <c r="F134" s="2">
        <v>59</v>
      </c>
      <c r="G134" s="2">
        <v>51</v>
      </c>
      <c r="H134" s="2">
        <v>90</v>
      </c>
      <c r="I134" s="3">
        <f t="shared" si="6"/>
        <v>346</v>
      </c>
      <c r="J134" s="3">
        <v>500</v>
      </c>
      <c r="K134" s="4">
        <f t="shared" si="7"/>
        <v>0.69199999999999995</v>
      </c>
      <c r="L134" s="7">
        <f t="shared" si="8"/>
        <v>0.30800000000000005</v>
      </c>
    </row>
    <row r="135" spans="1:12" x14ac:dyDescent="0.3">
      <c r="A135" s="6" t="s">
        <v>286</v>
      </c>
      <c r="B135" s="1" t="s">
        <v>287</v>
      </c>
      <c r="C135" s="1" t="s">
        <v>29</v>
      </c>
      <c r="D135" s="2">
        <v>68</v>
      </c>
      <c r="E135" s="2">
        <v>61</v>
      </c>
      <c r="F135" s="2">
        <v>12</v>
      </c>
      <c r="G135" s="2">
        <v>41</v>
      </c>
      <c r="H135" s="2">
        <v>35</v>
      </c>
      <c r="I135" s="3">
        <f t="shared" si="6"/>
        <v>217</v>
      </c>
      <c r="J135" s="3">
        <v>500</v>
      </c>
      <c r="K135" s="4">
        <f t="shared" si="7"/>
        <v>0.434</v>
      </c>
      <c r="L135" s="7">
        <f t="shared" si="8"/>
        <v>0.56600000000000006</v>
      </c>
    </row>
    <row r="136" spans="1:12" x14ac:dyDescent="0.3">
      <c r="A136" s="6" t="s">
        <v>288</v>
      </c>
      <c r="B136" s="1" t="s">
        <v>289</v>
      </c>
      <c r="C136" s="1" t="s">
        <v>32</v>
      </c>
      <c r="D136" s="2">
        <v>65</v>
      </c>
      <c r="E136" s="2">
        <v>34</v>
      </c>
      <c r="F136" s="2">
        <v>15</v>
      </c>
      <c r="G136" s="2">
        <v>86</v>
      </c>
      <c r="H136" s="2">
        <v>71</v>
      </c>
      <c r="I136" s="3">
        <f t="shared" si="6"/>
        <v>271</v>
      </c>
      <c r="J136" s="3">
        <v>500</v>
      </c>
      <c r="K136" s="4">
        <f t="shared" si="7"/>
        <v>0.54200000000000004</v>
      </c>
      <c r="L136" s="7">
        <f t="shared" si="8"/>
        <v>0.45799999999999996</v>
      </c>
    </row>
    <row r="137" spans="1:12" x14ac:dyDescent="0.3">
      <c r="A137" s="6" t="s">
        <v>290</v>
      </c>
      <c r="B137" s="1" t="s">
        <v>291</v>
      </c>
      <c r="C137" s="1" t="s">
        <v>35</v>
      </c>
      <c r="D137" s="2">
        <v>91</v>
      </c>
      <c r="E137" s="2">
        <v>21</v>
      </c>
      <c r="F137" s="2">
        <v>59</v>
      </c>
      <c r="G137" s="2">
        <v>85</v>
      </c>
      <c r="H137" s="2">
        <v>60</v>
      </c>
      <c r="I137" s="3">
        <f t="shared" si="6"/>
        <v>316</v>
      </c>
      <c r="J137" s="3">
        <v>500</v>
      </c>
      <c r="K137" s="4">
        <f t="shared" si="7"/>
        <v>0.63200000000000001</v>
      </c>
      <c r="L137" s="7">
        <f t="shared" si="8"/>
        <v>0.36799999999999999</v>
      </c>
    </row>
    <row r="138" spans="1:12" x14ac:dyDescent="0.3">
      <c r="A138" s="6" t="s">
        <v>292</v>
      </c>
      <c r="B138" s="1" t="s">
        <v>293</v>
      </c>
      <c r="C138" s="1" t="s">
        <v>14</v>
      </c>
      <c r="D138" s="2">
        <v>73</v>
      </c>
      <c r="E138" s="2">
        <v>67</v>
      </c>
      <c r="F138" s="2">
        <v>49</v>
      </c>
      <c r="G138" s="2">
        <v>56</v>
      </c>
      <c r="H138" s="2">
        <v>43</v>
      </c>
      <c r="I138" s="3">
        <f t="shared" si="6"/>
        <v>288</v>
      </c>
      <c r="J138" s="3">
        <v>500</v>
      </c>
      <c r="K138" s="4">
        <f t="shared" si="7"/>
        <v>0.57599999999999996</v>
      </c>
      <c r="L138" s="7">
        <f t="shared" si="8"/>
        <v>0.42400000000000004</v>
      </c>
    </row>
    <row r="139" spans="1:12" x14ac:dyDescent="0.3">
      <c r="A139" s="6" t="s">
        <v>294</v>
      </c>
      <c r="B139" s="1" t="s">
        <v>295</v>
      </c>
      <c r="C139" s="1" t="s">
        <v>17</v>
      </c>
      <c r="D139" s="2">
        <v>72</v>
      </c>
      <c r="E139" s="2">
        <v>49</v>
      </c>
      <c r="F139" s="2">
        <v>93</v>
      </c>
      <c r="G139" s="2">
        <v>95</v>
      </c>
      <c r="H139" s="2">
        <v>73</v>
      </c>
      <c r="I139" s="3">
        <f t="shared" si="6"/>
        <v>382</v>
      </c>
      <c r="J139" s="3">
        <v>500</v>
      </c>
      <c r="K139" s="4">
        <f t="shared" si="7"/>
        <v>0.76400000000000001</v>
      </c>
      <c r="L139" s="7">
        <f t="shared" si="8"/>
        <v>0.23599999999999999</v>
      </c>
    </row>
    <row r="140" spans="1:12" x14ac:dyDescent="0.3">
      <c r="A140" s="6" t="s">
        <v>296</v>
      </c>
      <c r="B140" s="1" t="s">
        <v>297</v>
      </c>
      <c r="C140" s="1" t="s">
        <v>20</v>
      </c>
      <c r="D140" s="2">
        <v>85</v>
      </c>
      <c r="E140" s="2">
        <v>43</v>
      </c>
      <c r="F140" s="2">
        <v>74</v>
      </c>
      <c r="G140" s="2">
        <v>26</v>
      </c>
      <c r="H140" s="2">
        <v>88</v>
      </c>
      <c r="I140" s="3">
        <f t="shared" si="6"/>
        <v>316</v>
      </c>
      <c r="J140" s="3">
        <v>500</v>
      </c>
      <c r="K140" s="4">
        <f t="shared" si="7"/>
        <v>0.63200000000000001</v>
      </c>
      <c r="L140" s="7">
        <f t="shared" si="8"/>
        <v>0.36799999999999999</v>
      </c>
    </row>
    <row r="141" spans="1:12" x14ac:dyDescent="0.3">
      <c r="A141" s="6" t="s">
        <v>298</v>
      </c>
      <c r="B141" s="1" t="s">
        <v>299</v>
      </c>
      <c r="C141" s="1" t="s">
        <v>23</v>
      </c>
      <c r="D141" s="2">
        <v>77</v>
      </c>
      <c r="E141" s="2">
        <v>81</v>
      </c>
      <c r="F141" s="2">
        <v>10</v>
      </c>
      <c r="G141" s="2">
        <v>65</v>
      </c>
      <c r="H141" s="2">
        <v>83</v>
      </c>
      <c r="I141" s="3">
        <f t="shared" si="6"/>
        <v>316</v>
      </c>
      <c r="J141" s="3">
        <v>500</v>
      </c>
      <c r="K141" s="4">
        <f t="shared" si="7"/>
        <v>0.63200000000000001</v>
      </c>
      <c r="L141" s="7">
        <f t="shared" si="8"/>
        <v>0.36799999999999999</v>
      </c>
    </row>
    <row r="142" spans="1:12" x14ac:dyDescent="0.3">
      <c r="A142" s="11" t="s">
        <v>300</v>
      </c>
      <c r="B142" s="12" t="s">
        <v>301</v>
      </c>
      <c r="C142" s="12" t="s">
        <v>26</v>
      </c>
      <c r="D142" s="13">
        <v>46</v>
      </c>
      <c r="E142" s="13">
        <v>52</v>
      </c>
      <c r="F142" s="13">
        <v>57</v>
      </c>
      <c r="G142" s="13">
        <v>67</v>
      </c>
      <c r="H142" s="13">
        <v>64</v>
      </c>
      <c r="I142" s="14">
        <f t="shared" si="6"/>
        <v>286</v>
      </c>
      <c r="J142" s="14">
        <v>500</v>
      </c>
      <c r="K142" s="15">
        <f t="shared" si="7"/>
        <v>0.57199999999999995</v>
      </c>
      <c r="L142" s="16">
        <f t="shared" si="8"/>
        <v>0.42800000000000005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37C74-2EB6-48A2-8C61-166ABDD5DB04}">
  <dimension ref="A1:AE12"/>
  <sheetViews>
    <sheetView tabSelected="1" zoomScale="86" zoomScaleNormal="73" workbookViewId="0">
      <selection activeCell="AF44" sqref="AF44"/>
    </sheetView>
  </sheetViews>
  <sheetFormatPr defaultRowHeight="14.4" x14ac:dyDescent="0.3"/>
  <sheetData>
    <row r="1" spans="1:31" x14ac:dyDescent="0.3">
      <c r="A1" s="22"/>
      <c r="B1" s="23"/>
      <c r="C1" s="23"/>
      <c r="D1" s="23"/>
      <c r="E1" s="23"/>
      <c r="F1" s="23"/>
      <c r="G1" s="23"/>
      <c r="H1" s="23"/>
      <c r="I1" s="23"/>
      <c r="J1" s="23"/>
      <c r="K1" s="23"/>
      <c r="L1" s="23"/>
      <c r="M1" s="23"/>
      <c r="N1" s="23"/>
      <c r="O1" s="23"/>
      <c r="P1" s="23"/>
    </row>
    <row r="2" spans="1:31" x14ac:dyDescent="0.3">
      <c r="A2" s="23"/>
      <c r="B2" s="23"/>
      <c r="C2" s="23"/>
      <c r="D2" s="23"/>
      <c r="E2" s="23"/>
      <c r="F2" s="23"/>
      <c r="G2" s="23"/>
      <c r="H2" s="23"/>
      <c r="I2" s="23"/>
      <c r="J2" s="23"/>
      <c r="K2" s="23"/>
      <c r="L2" s="23"/>
      <c r="M2" s="23"/>
      <c r="N2" s="23"/>
      <c r="O2" s="23"/>
      <c r="P2" s="23"/>
    </row>
    <row r="3" spans="1:31" x14ac:dyDescent="0.3">
      <c r="A3" s="23"/>
      <c r="B3" s="23"/>
      <c r="C3" s="23"/>
      <c r="D3" s="23"/>
      <c r="E3" s="23"/>
      <c r="F3" s="23"/>
      <c r="G3" s="23"/>
      <c r="H3" s="23"/>
      <c r="I3" s="23"/>
      <c r="J3" s="23"/>
      <c r="K3" s="23"/>
      <c r="L3" s="23"/>
      <c r="M3" s="23"/>
      <c r="N3" s="23"/>
      <c r="O3" s="23"/>
      <c r="P3" s="23"/>
    </row>
    <row r="4" spans="1:31" x14ac:dyDescent="0.3">
      <c r="A4" s="21"/>
      <c r="B4" s="21"/>
      <c r="C4" s="21"/>
      <c r="D4" s="21"/>
      <c r="E4" s="21"/>
      <c r="F4" s="21"/>
      <c r="G4" s="21"/>
      <c r="H4" s="21"/>
      <c r="I4" s="21"/>
      <c r="J4" s="21"/>
      <c r="K4" s="21"/>
      <c r="L4" s="21"/>
      <c r="M4" s="21"/>
      <c r="N4" s="21"/>
      <c r="O4" s="21"/>
      <c r="P4" s="21"/>
    </row>
    <row r="8" spans="1:31" x14ac:dyDescent="0.3">
      <c r="B8" t="s">
        <v>313</v>
      </c>
    </row>
    <row r="10" spans="1:31" x14ac:dyDescent="0.3">
      <c r="AE10" t="s">
        <v>314</v>
      </c>
    </row>
    <row r="12" spans="1:31" x14ac:dyDescent="0.3">
      <c r="C12" s="20"/>
    </row>
  </sheetData>
  <mergeCells count="2">
    <mergeCell ref="A4:P4"/>
    <mergeCell ref="A1:P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ACC8C-AC2F-4707-8A19-36BD0E06B2B0}">
  <dimension ref="A4:AC35"/>
  <sheetViews>
    <sheetView topLeftCell="A2" workbookViewId="0">
      <selection activeCell="A7" sqref="A7"/>
    </sheetView>
  </sheetViews>
  <sheetFormatPr defaultRowHeight="14.4" x14ac:dyDescent="0.3"/>
  <cols>
    <col min="1" max="1" width="16.6640625" bestFit="1" customWidth="1"/>
    <col min="2" max="2" width="19.88671875" bestFit="1" customWidth="1"/>
    <col min="4" max="4" width="14.21875" bestFit="1" customWidth="1"/>
    <col min="5" max="5" width="12" bestFit="1" customWidth="1"/>
    <col min="11" max="11" width="17.21875" bestFit="1" customWidth="1"/>
    <col min="12" max="12" width="10.33203125" bestFit="1" customWidth="1"/>
    <col min="18" max="18" width="14" bestFit="1" customWidth="1"/>
    <col min="19" max="19" width="17" bestFit="1" customWidth="1"/>
    <col min="25" max="25" width="17.21875" bestFit="1" customWidth="1"/>
    <col min="26" max="26" width="23.6640625" bestFit="1" customWidth="1"/>
  </cols>
  <sheetData>
    <row r="4" spans="1:29" x14ac:dyDescent="0.3">
      <c r="A4" t="s">
        <v>305</v>
      </c>
      <c r="K4" s="24" t="s">
        <v>306</v>
      </c>
      <c r="L4" s="24"/>
      <c r="M4" s="24"/>
      <c r="N4" s="24"/>
      <c r="O4" s="24"/>
      <c r="R4" s="24" t="s">
        <v>307</v>
      </c>
      <c r="S4" s="24"/>
      <c r="T4" s="24"/>
      <c r="U4" s="24"/>
      <c r="Y4" s="24" t="s">
        <v>309</v>
      </c>
      <c r="Z4" s="24"/>
      <c r="AA4" s="24"/>
      <c r="AB4" s="24"/>
    </row>
    <row r="6" spans="1:29" x14ac:dyDescent="0.3">
      <c r="A6" s="17" t="s">
        <v>1</v>
      </c>
      <c r="B6" t="s">
        <v>304</v>
      </c>
      <c r="K6" s="17" t="s">
        <v>1</v>
      </c>
      <c r="L6" t="s">
        <v>304</v>
      </c>
      <c r="R6" s="17" t="s">
        <v>302</v>
      </c>
      <c r="S6" t="s">
        <v>308</v>
      </c>
      <c r="Y6" s="17" t="s">
        <v>302</v>
      </c>
      <c r="Z6" t="s">
        <v>310</v>
      </c>
    </row>
    <row r="7" spans="1:29" x14ac:dyDescent="0.3">
      <c r="A7" s="18" t="s">
        <v>295</v>
      </c>
      <c r="B7" s="25">
        <v>382</v>
      </c>
      <c r="K7" s="18" t="s">
        <v>231</v>
      </c>
      <c r="L7" s="25">
        <v>228</v>
      </c>
      <c r="M7" t="str">
        <f>K7</f>
        <v>Jyoti Tulsani</v>
      </c>
      <c r="N7" t="e">
        <f>IF(L7=MIN($L$7:$L$11),L7,NA())</f>
        <v>#N/A</v>
      </c>
      <c r="O7">
        <f>IF(L7&lt;&gt;MIN($L$7:$L$11),L7,NA())</f>
        <v>228</v>
      </c>
      <c r="R7" s="18" t="s">
        <v>295</v>
      </c>
      <c r="S7" s="19">
        <v>0.76400000000000001</v>
      </c>
      <c r="Y7" s="18" t="s">
        <v>231</v>
      </c>
      <c r="Z7" s="19">
        <v>0.54400000000000004</v>
      </c>
      <c r="AA7" t="str">
        <f>Y7</f>
        <v>Jyoti Tulsani</v>
      </c>
      <c r="AB7" t="e">
        <f>IF(Z7=MAX($Z$7:$Z$11),Z7,NA())</f>
        <v>#N/A</v>
      </c>
      <c r="AC7" s="19">
        <f>IF(Z7&lt;&gt;MAX($Z$7:$Z$11),Z7,NA())</f>
        <v>0.54400000000000004</v>
      </c>
    </row>
    <row r="8" spans="1:29" x14ac:dyDescent="0.3">
      <c r="A8" s="18" t="s">
        <v>103</v>
      </c>
      <c r="B8" s="25">
        <v>371</v>
      </c>
      <c r="K8" s="18" t="s">
        <v>183</v>
      </c>
      <c r="L8" s="25">
        <v>209</v>
      </c>
      <c r="M8" t="str">
        <f t="shared" ref="M8:M11" si="0">K8</f>
        <v>Mubeen Khan</v>
      </c>
      <c r="N8" t="e">
        <f t="shared" ref="N8:N11" si="1">IF(L8=MIN($L$7:$L$11),L8,NA())</f>
        <v>#N/A</v>
      </c>
      <c r="O8">
        <f t="shared" ref="O8:O11" si="2">IF(L8&lt;&gt;MIN($L$7:$L$11),L8,NA())</f>
        <v>209</v>
      </c>
      <c r="R8" s="18" t="s">
        <v>263</v>
      </c>
      <c r="S8" s="19">
        <v>0.65400000000000003</v>
      </c>
      <c r="Y8" s="18" t="s">
        <v>183</v>
      </c>
      <c r="Z8" s="19">
        <v>0.58200000000000007</v>
      </c>
      <c r="AA8" t="str">
        <f t="shared" ref="AA8:AA11" si="3">Y8</f>
        <v>Mubeen Khan</v>
      </c>
      <c r="AB8" s="19" t="e">
        <f t="shared" ref="AB8:AB11" si="4">IF(Z8=MAX($Z$7:$Z$11),Z8,NA())</f>
        <v>#N/A</v>
      </c>
      <c r="AC8" s="19">
        <f t="shared" ref="AC8:AC11" si="5">IF(Z8&lt;&gt;MAX($Z$7:$Z$11),Z8,NA())</f>
        <v>0.58200000000000007</v>
      </c>
    </row>
    <row r="9" spans="1:29" x14ac:dyDescent="0.3">
      <c r="A9" s="18" t="s">
        <v>119</v>
      </c>
      <c r="B9" s="25">
        <v>340</v>
      </c>
      <c r="K9" s="18" t="s">
        <v>151</v>
      </c>
      <c r="L9" s="25">
        <v>166</v>
      </c>
      <c r="M9" t="str">
        <f t="shared" si="0"/>
        <v>Praveen Kumar</v>
      </c>
      <c r="N9">
        <f t="shared" si="1"/>
        <v>166</v>
      </c>
      <c r="O9" t="e">
        <f t="shared" si="2"/>
        <v>#N/A</v>
      </c>
      <c r="R9" s="18" t="s">
        <v>199</v>
      </c>
      <c r="S9" s="19">
        <v>0.63600000000000001</v>
      </c>
      <c r="Y9" s="18" t="s">
        <v>151</v>
      </c>
      <c r="Z9" s="19">
        <v>0.66799999999999993</v>
      </c>
      <c r="AA9" t="str">
        <f t="shared" si="3"/>
        <v>Praveen Kumar</v>
      </c>
      <c r="AB9">
        <f t="shared" si="4"/>
        <v>0.66799999999999993</v>
      </c>
      <c r="AC9" s="19" t="e">
        <f t="shared" si="5"/>
        <v>#N/A</v>
      </c>
    </row>
    <row r="10" spans="1:29" x14ac:dyDescent="0.3">
      <c r="A10" s="18" t="s">
        <v>263</v>
      </c>
      <c r="B10" s="25">
        <v>327</v>
      </c>
      <c r="K10" s="18" t="s">
        <v>87</v>
      </c>
      <c r="L10" s="25">
        <v>223</v>
      </c>
      <c r="M10" t="str">
        <f t="shared" si="0"/>
        <v>Sanjiv Subherwal</v>
      </c>
      <c r="N10" t="e">
        <f t="shared" si="1"/>
        <v>#N/A</v>
      </c>
      <c r="O10">
        <f t="shared" si="2"/>
        <v>223</v>
      </c>
      <c r="R10" s="18" t="s">
        <v>119</v>
      </c>
      <c r="S10" s="19">
        <v>0.68</v>
      </c>
      <c r="Y10" s="18" t="s">
        <v>87</v>
      </c>
      <c r="Z10" s="19">
        <v>0.55400000000000005</v>
      </c>
      <c r="AA10" t="str">
        <f t="shared" si="3"/>
        <v>Sanjiv Subherwal</v>
      </c>
      <c r="AB10" t="e">
        <f t="shared" si="4"/>
        <v>#N/A</v>
      </c>
      <c r="AC10" s="19">
        <f t="shared" si="5"/>
        <v>0.55400000000000005</v>
      </c>
    </row>
    <row r="11" spans="1:29" x14ac:dyDescent="0.3">
      <c r="A11" s="18" t="s">
        <v>199</v>
      </c>
      <c r="B11" s="25">
        <v>318</v>
      </c>
      <c r="K11" s="18" t="s">
        <v>39</v>
      </c>
      <c r="L11" s="25">
        <v>213</v>
      </c>
      <c r="M11" t="str">
        <f t="shared" si="0"/>
        <v>Sushma Khandelwal</v>
      </c>
      <c r="N11" t="e">
        <f t="shared" si="1"/>
        <v>#N/A</v>
      </c>
      <c r="O11">
        <f t="shared" si="2"/>
        <v>213</v>
      </c>
      <c r="R11" s="18" t="s">
        <v>103</v>
      </c>
      <c r="S11" s="19">
        <v>0.74199999999999999</v>
      </c>
      <c r="Y11" s="18" t="s">
        <v>39</v>
      </c>
      <c r="Z11" s="19">
        <v>0.57400000000000007</v>
      </c>
      <c r="AA11" t="str">
        <f t="shared" si="3"/>
        <v>Sushma Khandelwal</v>
      </c>
      <c r="AB11" t="e">
        <f t="shared" si="4"/>
        <v>#N/A</v>
      </c>
      <c r="AC11" s="19">
        <f t="shared" si="5"/>
        <v>0.57400000000000007</v>
      </c>
    </row>
    <row r="12" spans="1:29" x14ac:dyDescent="0.3">
      <c r="A12" s="18" t="s">
        <v>303</v>
      </c>
      <c r="B12" s="25">
        <v>1738</v>
      </c>
      <c r="K12" s="18" t="s">
        <v>303</v>
      </c>
      <c r="L12" s="25">
        <v>1039</v>
      </c>
      <c r="R12" s="18" t="s">
        <v>303</v>
      </c>
      <c r="S12" s="19">
        <v>3.4760000000000004</v>
      </c>
      <c r="Y12" s="18" t="s">
        <v>303</v>
      </c>
      <c r="Z12" s="19">
        <v>2.9219999999999997</v>
      </c>
    </row>
    <row r="33" spans="1:5" x14ac:dyDescent="0.3">
      <c r="D33">
        <f>MAX(Raw_data[Total Sales])</f>
        <v>389</v>
      </c>
      <c r="E33">
        <f>MIN(Raw_data[Total Sales])</f>
        <v>143</v>
      </c>
    </row>
    <row r="34" spans="1:5" x14ac:dyDescent="0.3">
      <c r="A34" t="s">
        <v>311</v>
      </c>
      <c r="B34" t="s">
        <v>312</v>
      </c>
    </row>
    <row r="35" spans="1:5" x14ac:dyDescent="0.3">
      <c r="A35" s="25">
        <v>18</v>
      </c>
      <c r="B35" s="19">
        <v>0.55166666666666653</v>
      </c>
      <c r="D35" t="str">
        <f>_xlfn.XLOOKUP(D33,Raw_data[Total Sales],Raw_data[Sales Executive])</f>
        <v>Jagdish Chandra</v>
      </c>
      <c r="E35" t="str">
        <f>_xlfn.XLOOKUP(E33,Raw_data[Total Sales],Raw_data[Sales Executive])</f>
        <v>Omprakash O</v>
      </c>
    </row>
  </sheetData>
  <mergeCells count="3">
    <mergeCell ref="K4:O4"/>
    <mergeCell ref="R4:U4"/>
    <mergeCell ref="Y4:AB4"/>
  </mergeCells>
  <pageMargins left="0.7" right="0.7" top="0.75" bottom="0.75" header="0.3" footer="0.3"/>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DashBoard</vt:lpstr>
      <vt:lpstr>pivots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kumar</dc:creator>
  <cp:lastModifiedBy>ajay kumar</cp:lastModifiedBy>
  <dcterms:created xsi:type="dcterms:W3CDTF">2026-05-04T17:43:09Z</dcterms:created>
  <dcterms:modified xsi:type="dcterms:W3CDTF">2026-05-08T16:19:45Z</dcterms:modified>
</cp:coreProperties>
</file>