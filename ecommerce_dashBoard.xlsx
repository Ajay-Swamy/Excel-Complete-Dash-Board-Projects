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jay\Documents\Data Science\Excel\Dash_board project\"/>
    </mc:Choice>
  </mc:AlternateContent>
  <xr:revisionPtr revIDLastSave="0" documentId="13_ncr:1_{F8DB4159-2477-4C08-8A9D-63EF0DDF4A5E}" xr6:coauthVersionLast="47" xr6:coauthVersionMax="47" xr10:uidLastSave="{00000000-0000-0000-0000-000000000000}"/>
  <bookViews>
    <workbookView xWindow="-108" yWindow="-108" windowWidth="23256" windowHeight="13176" activeTab="5" xr2:uid="{346724B3-1C49-40AE-AA36-C77CF5D6DD09}"/>
  </bookViews>
  <sheets>
    <sheet name="Data" sheetId="1" r:id="rId1"/>
    <sheet name="Sheet1" sheetId="7" r:id="rId2"/>
    <sheet name="pivots" sheetId="5" r:id="rId3"/>
    <sheet name="Questions &amp; KPIs" sheetId="2" r:id="rId4"/>
    <sheet name="Logo &amp; Colors" sheetId="4" r:id="rId5"/>
    <sheet name="Dashboard" sheetId="3" r:id="rId6"/>
  </sheets>
  <definedNames>
    <definedName name="_xlchart.v5.0" hidden="1">Sheet1!$AH$34:$AI$34</definedName>
    <definedName name="_xlchart.v5.1" hidden="1">Sheet1!$AH$35:$AI$92</definedName>
    <definedName name="_xlchart.v5.10" hidden="1">Sheet1!$AJ$34</definedName>
    <definedName name="_xlchart.v5.11" hidden="1">Sheet1!$AJ$35:$AJ$92</definedName>
    <definedName name="_xlchart.v5.12" hidden="1">Sheet1!$AN$34:$AO$34</definedName>
    <definedName name="_xlchart.v5.13" hidden="1">Sheet1!$AN$35:$AO$92</definedName>
    <definedName name="_xlchart.v5.14" hidden="1">Sheet1!$AP$34</definedName>
    <definedName name="_xlchart.v5.15" hidden="1">Sheet1!$AP$35:$AP$92</definedName>
    <definedName name="_xlchart.v5.2" hidden="1">Sheet1!$AJ$34</definedName>
    <definedName name="_xlchart.v5.3" hidden="1">Sheet1!$AJ$35:$AJ$92</definedName>
    <definedName name="_xlchart.v5.4" hidden="1">Sheet1!$AN$34:$AO$34</definedName>
    <definedName name="_xlchart.v5.5" hidden="1">Sheet1!$AN$35:$AO$92</definedName>
    <definedName name="_xlchart.v5.6" hidden="1">Sheet1!$AP$34</definedName>
    <definedName name="_xlchart.v5.7" hidden="1">Sheet1!$AP$35:$AP$92</definedName>
    <definedName name="_xlchart.v5.8" hidden="1">Sheet1!$AH$34:$AI$34</definedName>
    <definedName name="_xlchart.v5.9" hidden="1">Sheet1!$AH$35:$AI$92</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a="1"/>
  <c r="G4" i="3" s="1"/>
  <c r="H3" i="3" a="1"/>
  <c r="H3" i="3" s="1"/>
  <c r="J4" i="7" a="1"/>
  <c r="J4" i="7" s="1"/>
  <c r="I5" i="7" a="1"/>
  <c r="I5" i="7" s="1"/>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<sst xmlns="http://schemas.openxmlformats.org/spreadsheetml/2006/main" count="14911" uniqueCount="2574">
  <si>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</si>
  <si>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</si>
  <si>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</si>
  <si>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</si>
  <si>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</si>
  <si>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</si>
  <si>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</si>
  <si>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</si>
  <si>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</si>
  <si>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</si>
  <si>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</si>
  <si>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</si>
  <si>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</si>
  <si>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</si>
  <si>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</si>
  <si>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</si>
  <si>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</si>
  <si>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</si>
  <si>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</si>
  <si>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</si>
  <si>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</si>
  <si>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</si>
  <si>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</si>
  <si>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</si>
  <si>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</si>
  <si>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</si>
  <si>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</si>
  <si>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</si>
  <si>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</si>
  <si>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</si>
  <si>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</si>
  <si>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</si>
  <si>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</si>
  <si>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</si>
  <si>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</si>
  <si>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</si>
  <si>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</si>
  <si>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</si>
  <si>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</si>
  <si>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</si>
  <si>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</si>
  <si>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</si>
  <si>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</si>
  <si>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</si>
  <si>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</si>
  <si>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</si>
  <si>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</si>
  <si>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</si>
  <si>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</si>
  <si>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</si>
  <si>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</si>
  <si>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</si>
  <si>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</si>
  <si>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</si>
  <si>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</si>
  <si>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</si>
  <si>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</si>
  <si>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</si>
  <si>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</si>
  <si>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</si>
  <si>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</si>
  <si>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</si>
  <si>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</si>
  <si>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</si>
  <si>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</si>
  <si>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</si>
  <si>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</si>
  <si>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</si>
  <si>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</si>
  <si>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</si>
  <si>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</si>
  <si>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</si>
  <si>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</si>
  <si>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</si>
  <si>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</si>
  <si>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</si>
  <si>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</si>
  <si>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</si>
  <si>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</si>
  <si>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</si>
  <si>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</si>
  <si>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</si>
  <si>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</si>
  <si>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</si>
  <si>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</si>
  <si>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</si>
  <si>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</si>
  <si>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</si>
  <si>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</si>
  <si>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</si>
  <si>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</si>
  <si>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</si>
  <si>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</si>
  <si>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</si>
  <si>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</si>
  <si>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</si>
  <si>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</si>
  <si>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</si>
  <si>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</si>
  <si>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</si>
  <si>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</si>
  <si>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</si>
  <si>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</si>
  <si>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</si>
  <si>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</si>
  <si>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</si>
  <si>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</si>
  <si>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</si>
  <si>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</si>
  <si>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</si>
  <si>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</si>
  <si>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</si>
  <si>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</si>
  <si>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</si>
  <si>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</si>
  <si>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</si>
  <si>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</si>
  <si>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</si>
  <si>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</si>
  <si>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</si>
  <si>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</si>
  <si>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</si>
  <si>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</si>
  <si>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</si>
  <si>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</si>
  <si>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</si>
  <si>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</si>
  <si>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</si>
  <si>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</si>
  <si>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</si>
  <si>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</si>
  <si>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</si>
  <si>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</si>
  <si>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</si>
  <si>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</si>
  <si>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</si>
  <si>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</si>
  <si>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</si>
  <si>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</si>
  <si>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</si>
  <si>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</si>
  <si>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</si>
  <si>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</si>
  <si>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</si>
  <si>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</si>
  <si>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</si>
  <si>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</si>
  <si>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</si>
  <si>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</si>
  <si>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</si>
  <si>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</si>
  <si>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</si>
  <si>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</si>
  <si>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</si>
  <si>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</si>
  <si>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</si>
  <si>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</si>
  <si>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</si>
  <si>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</si>
  <si>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</si>
  <si>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</si>
  <si>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</si>
  <si>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</si>
  <si>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</si>
  <si>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</si>
  <si>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</si>
  <si>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</si>
  <si>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</si>
  <si>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</si>
  <si>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</si>
  <si>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</si>
  <si>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</si>
  <si>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</si>
  <si>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</si>
  <si>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</si>
  <si>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</si>
  <si>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</si>
  <si>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</si>
  <si>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</si>
  <si>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</si>
  <si>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</si>
  <si>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</si>
  <si>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</si>
  <si>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</si>
  <si>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</si>
  <si>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</si>
  <si>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</si>
  <si>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</si>
  <si>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</si>
  <si>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</si>
  <si>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</si>
  <si>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</si>
  <si>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</si>
  <si>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</si>
  <si>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</si>
  <si>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</si>
  <si>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</si>
  <si>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</si>
  <si>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</si>
  <si>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</si>
  <si>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</si>
  <si>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</si>
  <si>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</si>
  <si>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</si>
  <si>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</si>
  <si>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</si>
  <si>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</si>
  <si>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</si>
  <si>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</si>
  <si>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</si>
  <si>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</si>
  <si>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</si>
  <si>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</si>
  <si>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</si>
  <si>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</si>
  <si>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</si>
  <si>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</si>
  <si>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</si>
  <si>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</si>
  <si>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</si>
  <si>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</si>
  <si>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</si>
  <si>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</si>
  <si>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</si>
  <si>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</si>
  <si>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</si>
  <si>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</si>
  <si>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</si>
  <si>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</si>
  <si>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</si>
  <si>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</si>
  <si>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</si>
  <si>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</si>
  <si>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</si>
  <si>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</si>
  <si>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</si>
  <si>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</si>
  <si>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</si>
  <si>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</si>
  <si>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</si>
  <si>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</si>
  <si>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</si>
  <si>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</si>
  <si>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</si>
  <si>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</si>
  <si>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</si>
  <si>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</si>
  <si>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</si>
  <si>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</si>
  <si>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</si>
  <si>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</si>
  <si>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</si>
  <si>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</si>
  <si>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</si>
  <si>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</si>
  <si>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</si>
  <si>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</si>
  <si>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</si>
  <si>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</si>
  <si>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</si>
  <si>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</si>
  <si>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</si>
  <si>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</si>
  <si>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</si>
  <si>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</si>
  <si>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</si>
  <si>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</si>
  <si>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</si>
  <si>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</si>
  <si>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</si>
  <si>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</si>
  <si>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</si>
  <si>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</si>
  <si>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</si>
  <si>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</si>
  <si>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</si>
  <si>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</si>
  <si>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</si>
  <si>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</si>
  <si>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</si>
  <si>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</si>
  <si>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</si>
  <si>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</si>
  <si>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</si>
  <si>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</si>
  <si>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</si>
  <si>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</si>
  <si>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</si>
  <si>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</si>
  <si>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</si>
  <si>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</si>
  <si>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</si>
  <si>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</si>
  <si>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</si>
  <si>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</si>
  <si>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</si>
  <si>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</si>
  <si>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</si>
  <si>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</si>
  <si>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</si>
  <si>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</si>
  <si>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</si>
  <si>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</si>
  <si>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</si>
  <si>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</si>
  <si>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</si>
  <si>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</si>
  <si>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</si>
  <si>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</si>
  <si>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</si>
  <si>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</si>
  <si>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</si>
  <si>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</si>
  <si>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</si>
  <si>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</si>
  <si>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</si>
  <si>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</si>
  <si>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</si>
  <si>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</si>
  <si>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</si>
  <si>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</si>
  <si>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</si>
  <si>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</si>
  <si>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</si>
  <si>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</si>
  <si>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</si>
  <si>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</si>
  <si>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</si>
  <si>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</si>
  <si>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</si>
  <si>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</si>
  <si>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</si>
  <si>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</si>
  <si>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</si>
  <si>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</si>
  <si>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</si>
  <si>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</si>
  <si>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</si>
  <si>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</si>
  <si>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</si>
  <si>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</si>
  <si>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</si>
  <si>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</si>
  <si>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</si>
  <si>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</si>
  <si>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</si>
  <si>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</si>
  <si>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</si>
  <si>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</si>
  <si>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</si>
  <si>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</si>
  <si>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</si>
  <si>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</si>
  <si>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</si>
  <si>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</si>
  <si>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</si>
  <si>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</si>
  <si>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</si>
  <si>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</si>
  <si>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</si>
  <si>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</si>
  <si>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</si>
  <si>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</si>
  <si>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</si>
  <si>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</si>
  <si>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</si>
  <si>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</si>
  <si>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</si>
  <si>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</si>
  <si>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</si>
  <si>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</si>
  <si>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</si>
  <si>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</si>
  <si>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</si>
  <si>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</si>
  <si>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</si>
  <si>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</si>
  <si>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</si>
  <si>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</si>
  <si>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</si>
  <si>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</si>
  <si>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</si>
  <si>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</si>
  <si>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</si>
  <si>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</si>
  <si>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</si>
  <si>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</si>
  <si>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</si>
  <si>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</si>
  <si>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</si>
  <si>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</si>
  <si>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</si>
  <si>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</si>
  <si>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</si>
  <si>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</si>
  <si>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</si>
  <si>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</si>
  <si>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</si>
  <si>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</si>
  <si>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</si>
  <si>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</si>
  <si>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</si>
  <si>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</si>
  <si>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</si>
  <si>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</si>
  <si>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</si>
  <si>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</si>
  <si>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</si>
  <si>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</si>
  <si>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</si>
  <si>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</si>
  <si>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</si>
  <si>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</si>
  <si>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</si>
  <si>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</si>
  <si>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</si>
  <si>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</si>
  <si>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</si>
  <si>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</si>
  <si>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</si>
  <si>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</si>
  <si>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</si>
  <si>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</si>
  <si>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</si>
  <si>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</si>
  <si>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</si>
  <si>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</si>
  <si>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</si>
  <si>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</si>
  <si>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</si>
  <si>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</si>
  <si>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</si>
  <si>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</si>
  <si>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</si>
  <si>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</si>
  <si>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</si>
  <si>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</si>
  <si>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</si>
  <si>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</si>
  <si>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</si>
  <si>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</si>
  <si>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</si>
  <si>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</si>
  <si>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</si>
  <si>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</si>
  <si>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</si>
  <si>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</si>
  <si>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</si>
  <si>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</si>
  <si>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</si>
  <si>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</si>
  <si>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</si>
  <si>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</si>
  <si>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</si>
  <si>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</si>
  <si>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</si>
  <si>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</si>
  <si>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</si>
  <si>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</si>
  <si>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</si>
  <si>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</si>
  <si>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</si>
  <si>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</si>
  <si>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</si>
  <si>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</si>
  <si>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</si>
  <si>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</si>
  <si>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</si>
  <si>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</si>
  <si>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</si>
  <si>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</si>
  <si>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</si>
  <si>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</si>
  <si>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</si>
  <si>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</si>
  <si>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</si>
  <si>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</si>
  <si>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</si>
  <si>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</si>
  <si>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</si>
  <si>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</si>
  <si>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</si>
  <si>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</si>
  <si>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</si>
  <si>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</si>
  <si>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</si>
  <si>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</si>
  <si>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</si>
  <si>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</si>
  <si>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</si>
  <si>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</si>
  <si>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</si>
  <si>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</si>
  <si>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</si>
  <si>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</si>
  <si>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</si>
  <si>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</si>
  <si>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</si>
  <si>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</si>
  <si>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</si>
  <si>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</si>
  <si>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</si>
  <si>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</si>
  <si>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</si>
  <si>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</si>
  <si>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</si>
  <si>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</si>
  <si>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</si>
  <si>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</si>
  <si>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</si>
  <si>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</si>
  <si>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</si>
  <si>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</si>
  <si>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</si>
  <si>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</si>
  <si>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</si>
  <si>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</si>
  <si>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</si>
  <si>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</si>
  <si>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</si>
  <si>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</si>
  <si>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</si>
  <si>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</si>
  <si>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</si>
  <si>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</si>
  <si>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</si>
  <si>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</si>
  <si>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</si>
  <si>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</si>
  <si>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</si>
  <si>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</si>
  <si>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</si>
  <si>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</si>
  <si>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</si>
  <si>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</si>
  <si>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</si>
  <si>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</si>
  <si>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</si>
  <si>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</si>
  <si>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</si>
  <si>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</si>
  <si>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</si>
  <si>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</si>
  <si>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</si>
  <si>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</si>
  <si>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</si>
  <si>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</si>
  <si>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</si>
  <si>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</si>
  <si>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</si>
  <si>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</si>
  <si>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</si>
  <si>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</si>
  <si>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</si>
  <si>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</si>
  <si>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</si>
  <si>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</si>
  <si>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</si>
  <si>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</si>
  <si>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</si>
  <si>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</si>
  <si>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</si>
  <si>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</si>
  <si>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</si>
  <si>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</si>
  <si>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</si>
  <si>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</si>
  <si>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</si>
  <si>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</si>
  <si>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</si>
  <si>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</si>
  <si>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</si>
  <si>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</si>
  <si>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</si>
  <si>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</si>
  <si>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</si>
  <si>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</si>
  <si>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</si>
  <si>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</si>
  <si>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</si>
  <si>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</si>
  <si>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</si>
  <si>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</si>
  <si>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</si>
  <si>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</si>
  <si>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</si>
  <si>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</si>
  <si>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</si>
  <si>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</si>
  <si>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</si>
  <si>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</si>
  <si>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</si>
  <si>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</si>
  <si>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</si>
  <si>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</si>
  <si>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</si>
  <si>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</si>
  <si>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</si>
  <si>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</si>
  <si>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</si>
  <si>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</si>
  <si>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</si>
  <si>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</si>
  <si>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</si>
  <si>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</si>
  <si>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</si>
  <si>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</si>
  <si>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</si>
  <si>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</si>
  <si>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</si>
  <si>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</si>
  <si>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</si>
  <si>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</si>
  <si>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</si>
  <si>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</si>
  <si>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</si>
  <si>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</si>
  <si>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</si>
  <si>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</si>
  <si>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</si>
  <si>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</si>
  <si>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</si>
  <si>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</si>
  <si>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</si>
  <si>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</si>
  <si>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</si>
  <si>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</si>
  <si>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</si>
  <si>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</si>
  <si>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</si>
  <si>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</si>
  <si>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</si>
  <si>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</si>
  <si>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</si>
  <si>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</si>
  <si>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</si>
  <si>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</si>
  <si>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</si>
  <si>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</si>
  <si>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</si>
  <si>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</si>
  <si>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</si>
  <si>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</si>
  <si>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</si>
  <si>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</si>
  <si>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</si>
  <si>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</si>
  <si>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</si>
  <si>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</si>
  <si>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</si>
  <si>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</si>
  <si>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</si>
  <si>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</si>
  <si>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</si>
  <si>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</si>
  <si>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</si>
  <si>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</si>
  <si>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</si>
  <si>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</si>
  <si>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</si>
  <si>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</si>
  <si>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</si>
  <si>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</si>
  <si>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</si>
  <si>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</si>
  <si>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</si>
  <si>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</si>
  <si>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</si>
  <si>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</si>
  <si>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</si>
  <si>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</si>
  <si>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</si>
  <si>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</si>
  <si>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</si>
  <si>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</si>
  <si>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</si>
  <si>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</si>
  <si>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</si>
  <si>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</si>
  <si>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</si>
  <si>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</si>
  <si>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</si>
  <si>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</si>
  <si>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</si>
  <si>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</si>
  <si>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</si>
  <si>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</si>
  <si>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</si>
  <si>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</si>
  <si>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</si>
  <si>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</si>
  <si>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</si>
  <si>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</si>
  <si>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</si>
  <si>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</si>
  <si>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</si>
  <si>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</si>
  <si>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</si>
  <si>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</si>
  <si>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</si>
  <si>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</si>
  <si>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</si>
  <si>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</si>
  <si>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</si>
  <si>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</si>
  <si>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</si>
  <si>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</si>
  <si>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</si>
  <si>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</si>
  <si>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</si>
  <si>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</si>
  <si>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</si>
  <si>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</si>
  <si>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</si>
  <si>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</si>
  <si>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</si>
  <si>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</si>
  <si>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</si>
  <si>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</si>
  <si>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</si>
  <si>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</si>
  <si>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</si>
  <si>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</si>
  <si>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</si>
  <si>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</si>
  <si>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</si>
  <si>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</si>
  <si>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</si>
  <si>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</si>
  <si>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</si>
  <si>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</si>
  <si>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</si>
  <si>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</si>
  <si>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</si>
  <si>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</si>
  <si>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</si>
  <si>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</si>
  <si>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</si>
  <si>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</si>
  <si>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</si>
  <si>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</si>
  <si>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</si>
  <si>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</si>
  <si>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</si>
  <si>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</si>
  <si>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</si>
  <si>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</si>
  <si>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</si>
  <si>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</si>
  <si>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</si>
  <si>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</si>
  <si>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</si>
  <si>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</si>
  <si>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</si>
  <si>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</si>
  <si>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</si>
  <si>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</si>
  <si>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</si>
  <si>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</si>
  <si>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</si>
  <si>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</si>
  <si>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</si>
  <si>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</si>
  <si>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</si>
  <si>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</si>
  <si>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</si>
  <si>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</si>
  <si>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</si>
  <si>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</si>
  <si>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</si>
  <si>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</si>
  <si>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</si>
  <si>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</si>
  <si>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</si>
  <si>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</si>
  <si>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</si>
  <si>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</si>
  <si>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</si>
  <si>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</si>
  <si>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</si>
  <si>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</si>
  <si>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</si>
  <si>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</si>
  <si>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</si>
  <si>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</si>
  <si>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</si>
  <si>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</si>
  <si>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</si>
  <si>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</si>
  <si>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</si>
  <si>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</si>
  <si>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</si>
  <si>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</si>
  <si>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</si>
  <si>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</si>
  <si>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</si>
  <si>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</si>
  <si>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</si>
  <si>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</si>
  <si>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</si>
  <si>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</si>
  <si>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</si>
  <si>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</si>
  <si>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</si>
  <si>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</si>
  <si>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</si>
  <si>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</si>
  <si>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</si>
  <si>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</si>
  <si>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</si>
  <si>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</si>
  <si>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</si>
  <si>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</si>
  <si>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</si>
  <si>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</si>
  <si>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</si>
  <si>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</si>
  <si>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</si>
  <si>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</si>
  <si>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</si>
  <si>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</si>
  <si>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</si>
  <si>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</si>
  <si>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</si>
  <si>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</si>
  <si>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</si>
  <si>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</si>
  <si>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</si>
  <si>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</si>
  <si>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</si>
  <si>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</si>
  <si>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</si>
  <si>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</si>
  <si>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</si>
  <si>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</si>
  <si>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</si>
  <si>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</si>
  <si>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</si>
  <si>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</si>
  <si>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</si>
  <si>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</si>
  <si>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</si>
  <si>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</si>
  <si>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</si>
  <si>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</si>
  <si>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</si>
  <si>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</si>
  <si>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</si>
  <si>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</si>
  <si>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</si>
  <si>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</si>
  <si>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</si>
  <si>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</si>
  <si>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</si>
  <si>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</si>
  <si>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</si>
  <si>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</si>
  <si>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</si>
  <si>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</si>
  <si>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</si>
  <si>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</si>
  <si>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</si>
  <si>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</si>
  <si>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</si>
  <si>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</si>
  <si>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</si>
  <si>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</si>
  <si>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</si>
  <si>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</si>
  <si>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</si>
  <si>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</si>
  <si>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</si>
  <si>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</si>
  <si>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</si>
  <si>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</si>
  <si>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</si>
  <si>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</si>
  <si>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</si>
  <si>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</si>
  <si>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</si>
  <si>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</si>
  <si>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</si>
  <si>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</si>
  <si>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</si>
  <si>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</si>
  <si>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</si>
  <si>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</si>
  <si>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</si>
  <si>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</si>
  <si>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</si>
  <si>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</si>
  <si>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</si>
  <si>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</si>
  <si>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</si>
  <si>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</si>
  <si>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</si>
  <si>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</si>
  <si>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</si>
  <si>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</si>
  <si>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</si>
  <si>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</si>
  <si>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</si>
  <si>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</si>
  <si>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</si>
  <si>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</si>
  <si>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</si>
  <si>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</si>
  <si>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</si>
  <si>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</si>
  <si>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</si>
  <si>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</si>
  <si>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</si>
  <si>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</si>
  <si>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</si>
  <si>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</si>
  <si>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</si>
  <si>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</si>
  <si>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</si>
  <si>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</si>
  <si>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</si>
  <si>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</si>
  <si>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</si>
  <si>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</si>
  <si>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</si>
  <si>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</si>
  <si>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</si>
  <si>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</si>
  <si>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</si>
  <si>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</si>
  <si>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</si>
  <si>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</si>
  <si>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</si>
  <si>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</si>
  <si>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</si>
  <si>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</si>
  <si>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</si>
  <si>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</si>
  <si>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</si>
  <si>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</si>
  <si>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</si>
  <si>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</si>
  <si>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</si>
  <si>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</si>
  <si>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</si>
  <si>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</si>
  <si>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</si>
  <si>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</si>
  <si>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</si>
  <si>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</si>
  <si>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</si>
  <si>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</si>
  <si>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</si>
  <si>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</si>
  <si>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</si>
  <si>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</si>
  <si>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</si>
  <si>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</si>
  <si>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</si>
  <si>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</si>
  <si>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</si>
  <si>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</si>
  <si>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</si>
  <si>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</si>
  <si>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</si>
  <si>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</si>
  <si>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</si>
  <si>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</si>
  <si>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</si>
  <si>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</si>
  <si>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</si>
  <si>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</si>
  <si>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</si>
  <si>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</si>
  <si>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</si>
  <si>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</si>
  <si>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</si>
  <si>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</si>
  <si>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</si>
  <si>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</si>
  <si>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</si>
  <si>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</si>
  <si>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</si>
  <si>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</si>
  <si>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</si>
  <si>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</si>
  <si>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</si>
  <si>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</si>
  <si>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</si>
  <si>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</si>
  <si>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</si>
  <si>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</si>
  <si>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</si>
  <si>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</si>
  <si>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</si>
  <si>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</si>
  <si>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</si>
  <si>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</si>
  <si>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</si>
  <si>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</si>
  <si>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</si>
  <si>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</si>
  <si>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</si>
  <si>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</si>
  <si>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</si>
  <si>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</si>
  <si>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</si>
  <si>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</si>
  <si>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</si>
  <si>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</si>
  <si>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</si>
  <si>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</si>
  <si>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</si>
  <si>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</si>
  <si>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</si>
  <si>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</si>
  <si>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</si>
  <si>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</si>
  <si>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</si>
  <si>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</si>
  <si>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</si>
  <si>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</si>
  <si>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</si>
  <si>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</si>
  <si>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</si>
  <si>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</si>
  <si>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</si>
  <si>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</si>
  <si>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</si>
  <si>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</si>
  <si>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</si>
  <si>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</si>
  <si>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</si>
  <si>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</si>
  <si>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</si>
  <si>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</si>
  <si>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</si>
  <si>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</si>
  <si>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</si>
  <si>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</si>
  <si>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</si>
  <si>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</si>
  <si>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</si>
  <si>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</si>
  <si>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</si>
  <si>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</si>
  <si>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</si>
  <si>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</si>
  <si>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</si>
  <si>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</si>
  <si>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</si>
  <si>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</si>
  <si>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</si>
  <si>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</si>
  <si>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</si>
  <si>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</si>
  <si>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</si>
  <si>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</si>
  <si>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</si>
  <si>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</si>
  <si>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</si>
  <si>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</si>
  <si>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</si>
  <si>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</si>
  <si>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</si>
  <si>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</si>
  <si>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</si>
  <si>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</si>
  <si>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</si>
  <si>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</si>
  <si>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</si>
  <si>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</si>
  <si>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</si>
  <si>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</si>
  <si>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</si>
  <si>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</si>
  <si>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</si>
  <si>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</si>
  <si>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</si>
  <si>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</si>
  <si>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</si>
  <si>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</si>
  <si>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</si>
  <si>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</si>
  <si>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</si>
  <si>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</si>
  <si>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</si>
  <si>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</si>
  <si>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</si>
  <si>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</si>
  <si>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</si>
  <si>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</si>
  <si>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</si>
  <si>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</si>
  <si>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</si>
  <si>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</si>
  <si>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</si>
  <si>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</si>
  <si>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</si>
  <si>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</si>
  <si>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</si>
  <si>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</si>
  <si>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</si>
  <si>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</si>
  <si>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</si>
  <si>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</si>
  <si>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</si>
  <si>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</si>
  <si>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</si>
  <si>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</si>
  <si>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</si>
  <si>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</si>
  <si>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</si>
  <si>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</si>
  <si>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</si>
  <si>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</si>
  <si>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</si>
  <si>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</si>
  <si>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</si>
  <si>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</si>
  <si>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</si>
  <si>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</si>
  <si>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</si>
  <si>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</si>
  <si>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</si>
  <si>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</si>
  <si>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</si>
  <si>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</si>
  <si>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</si>
  <si>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</si>
  <si>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</si>
  <si>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</si>
  <si>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</si>
  <si>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</si>
  <si>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</si>
  <si>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</si>
  <si>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</si>
  <si>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</si>
  <si>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</si>
  <si>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</si>
  <si>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</si>
  <si>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</si>
  <si>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</si>
  <si>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</si>
  <si>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</si>
  <si>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</si>
  <si>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</si>
  <si>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</si>
  <si>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</si>
  <si>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</si>
  <si>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</si>
  <si>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</si>
  <si>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</si>
  <si>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</si>
  <si>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</si>
  <si>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</si>
  <si>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</si>
  <si>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</si>
  <si>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</si>
  <si>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</si>
  <si>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</si>
  <si>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</si>
  <si>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</si>
  <si>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</si>
  <si>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</si>
  <si>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</si>
  <si>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</si>
  <si>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</si>
  <si>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</si>
  <si>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</si>
  <si>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</si>
  <si>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</si>
  <si>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</si>
  <si>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</si>
  <si>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</si>
  <si>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</si>
  <si>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</si>
  <si>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</si>
  <si>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</si>
  <si>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</si>
  <si>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</si>
  <si>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</si>
  <si>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</si>
  <si>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</si>
  <si>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</si>
  <si>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</si>
  <si>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</si>
  <si>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</si>
  <si>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</si>
  <si>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</si>
  <si>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</si>
  <si>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</si>
  <si>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</si>
  <si>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</si>
  <si>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</si>
  <si>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</si>
  <si>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</si>
  <si>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</si>
  <si>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</si>
  <si>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</si>
  <si>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</si>
  <si>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</si>
  <si>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</si>
  <si>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</si>
  <si>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</si>
  <si>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</si>
  <si>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</si>
  <si>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</si>
  <si>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</si>
  <si>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</si>
  <si>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</si>
  <si>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</si>
  <si>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</si>
  <si>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</si>
  <si>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</si>
  <si>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</si>
  <si>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</si>
  <si>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</si>
  <si>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</si>
  <si>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</si>
  <si>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</si>
  <si>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</si>
  <si>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</si>
  <si>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</si>
  <si>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</si>
  <si>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</si>
  <si>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</si>
  <si>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</si>
  <si>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</si>
  <si>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</si>
  <si>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</si>
  <si>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</si>
  <si>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</si>
  <si>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</si>
  <si>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</si>
  <si>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</si>
  <si>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</si>
  <si>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</si>
  <si>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</si>
  <si>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</si>
  <si>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</si>
  <si>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</si>
  <si>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</si>
  <si>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</si>
  <si>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</si>
  <si>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</si>
  <si>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</si>
  <si>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</si>
  <si>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</si>
  <si>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</si>
  <si>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</si>
  <si>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</si>
  <si>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</si>
  <si>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</si>
  <si>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</si>
  <si>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</si>
  <si>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</si>
  <si>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</si>
  <si>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</si>
  <si>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</si>
  <si>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</si>
  <si>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</si>
  <si>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</si>
  <si>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</si>
  <si>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</si>
  <si>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</si>
  <si>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</si>
  <si>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</si>
  <si>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</si>
  <si>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</si>
  <si>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</si>
  <si>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</si>
  <si>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</si>
  <si>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</si>
  <si>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</si>
  <si>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</si>
  <si>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</si>
  <si>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</si>
  <si>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</si>
  <si>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</si>
  <si>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</si>
  <si>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</si>
  <si>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</si>
  <si>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</si>
  <si>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</si>
  <si>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</si>
  <si>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</si>
  <si>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</si>
  <si>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</si>
  <si>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</si>
  <si>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</si>
  <si>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</si>
  <si>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</si>
  <si>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</si>
  <si>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</si>
  <si>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</si>
  <si>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</si>
  <si>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</si>
  <si>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</si>
  <si>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</si>
  <si>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</si>
  <si>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</si>
  <si>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</si>
  <si>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</si>
  <si>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</si>
  <si>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</si>
  <si>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</si>
  <si>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</si>
  <si>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</si>
  <si>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</si>
  <si>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</si>
  <si>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</si>
  <si>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</si>
  <si>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</si>
  <si>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</si>
  <si>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</si>
  <si>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</si>
  <si>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</si>
  <si>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</si>
  <si>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</si>
  <si>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</si>
  <si>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</si>
  <si>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</si>
  <si>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</si>
  <si>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</si>
  <si>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</si>
  <si>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</si>
  <si>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</si>
  <si>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</si>
  <si>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</si>
  <si>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</si>
  <si>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</si>
  <si>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</si>
  <si>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</si>
  <si>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</si>
  <si>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</si>
  <si>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</si>
  <si>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</si>
  <si>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</si>
  <si>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</si>
  <si>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</si>
  <si>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</si>
  <si>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</si>
  <si>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</si>
  <si>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</si>
  <si>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</si>
  <si>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</si>
  <si>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</si>
  <si>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</si>
  <si>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</si>
  <si>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</si>
  <si>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</si>
  <si>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</si>
  <si>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</si>
  <si>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</si>
  <si>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</si>
  <si>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</si>
  <si>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</si>
  <si>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</si>
  <si>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</si>
  <si>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</si>
  <si>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</si>
  <si>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</si>
  <si>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</si>
  <si>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</si>
  <si>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</si>
  <si>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</si>
  <si>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</si>
  <si>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</si>
  <si>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</si>
  <si>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</si>
  <si>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</si>
  <si>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</si>
  <si>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</si>
  <si>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</si>
  <si>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</si>
  <si>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</si>
  <si>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</si>
  <si>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</si>
  <si>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</si>
  <si>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</si>
  <si>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</si>
  <si>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</si>
  <si>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</si>
  <si>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</si>
  <si>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</si>
  <si>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</si>
  <si>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</si>
  <si>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</si>
  <si>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</si>
  <si>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</si>
  <si>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</si>
  <si>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</si>
  <si>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</si>
  <si>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</si>
  <si>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</si>
  <si>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</si>
  <si>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</si>
  <si>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</si>
  <si>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</si>
  <si>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</si>
  <si>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</si>
  <si>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</si>
  <si>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</si>
  <si>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</si>
  <si>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</si>
  <si>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</si>
  <si>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</si>
  <si>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</si>
  <si>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</si>
  <si>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</si>
  <si>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</si>
  <si>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</si>
  <si>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</si>
  <si>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</si>
  <si>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</si>
  <si>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</si>
  <si>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</si>
  <si>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</si>
  <si>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</si>
  <si>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</si>
  <si>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</si>
  <si>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</si>
  <si>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</si>
  <si>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</si>
  <si>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</si>
  <si>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</si>
  <si>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</si>
  <si>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</si>
  <si>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</si>
  <si>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</si>
  <si>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</si>
  <si>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</si>
  <si>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</si>
  <si>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</si>
  <si>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</si>
  <si>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</si>
  <si>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</si>
  <si>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</si>
  <si>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</si>
  <si>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</si>
  <si>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</si>
  <si>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</si>
  <si>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</si>
  <si>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</si>
  <si>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</si>
  <si>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</si>
  <si>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</si>
  <si>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</si>
  <si>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</si>
  <si>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</si>
  <si>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</si>
  <si>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</si>
  <si>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</si>
  <si>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</si>
  <si>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</si>
  <si>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</si>
  <si>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</si>
  <si>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</si>
  <si>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</si>
  <si>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</si>
  <si>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</si>
  <si>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</si>
  <si>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</si>
  <si>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</si>
  <si>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</si>
  <si>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</si>
  <si>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</si>
  <si>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</si>
  <si>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</si>
  <si>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</si>
  <si>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</si>
  <si>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</si>
  <si>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</si>
  <si>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</si>
  <si>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</si>
  <si>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</si>
  <si>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</si>
  <si>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</si>
  <si>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</si>
  <si>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</si>
  <si>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</si>
  <si>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</si>
  <si>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</si>
  <si>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</si>
  <si>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</si>
  <si>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</si>
  <si>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</si>
  <si>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</si>
  <si>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</si>
  <si>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</si>
  <si>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</si>
  <si>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</si>
  <si>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</si>
  <si>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</si>
  <si>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</si>
  <si>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</si>
  <si>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</si>
  <si>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</si>
  <si>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</si>
  <si>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</si>
  <si>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</si>
  <si>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</si>
  <si>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</si>
  <si>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</si>
  <si>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</si>
  <si>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</si>
  <si>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</si>
  <si>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</si>
  <si>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</si>
  <si>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</si>
  <si>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</si>
  <si>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</si>
  <si>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</si>
  <si>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</si>
  <si>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</si>
  <si>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</si>
  <si>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</si>
  <si>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</si>
  <si>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</si>
  <si>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</si>
  <si>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</si>
  <si>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</si>
  <si>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</si>
  <si>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</si>
  <si>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</si>
  <si>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</si>
  <si>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</si>
  <si>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</si>
  <si>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</si>
  <si>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</si>
  <si>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</si>
  <si>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</si>
  <si>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</si>
  <si>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</si>
  <si>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</si>
  <si>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</si>
  <si>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</si>
  <si>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</si>
  <si>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</si>
  <si>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</si>
  <si>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</si>
  <si>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</si>
  <si>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</si>
  <si>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</si>
  <si>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</si>
  <si>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</si>
  <si>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</si>
  <si>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</si>
  <si>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</si>
  <si>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</si>
  <si>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</si>
  <si>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</si>
  <si>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</si>
  <si>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</si>
  <si>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</si>
  <si>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</si>
  <si>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</si>
  <si>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</si>
  <si>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</si>
  <si>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</si>
  <si>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</si>
  <si>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</si>
  <si>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</si>
  <si>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</si>
  <si>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</si>
  <si>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</si>
  <si>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</si>
  <si>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</si>
  <si>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</si>
  <si>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</si>
  <si>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</si>
  <si>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</si>
  <si>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</si>
  <si>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</si>
  <si>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</si>
  <si>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</si>
  <si>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</si>
  <si>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</si>
  <si>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</si>
  <si>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</si>
  <si>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</si>
  <si>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</si>
  <si>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</si>
  <si>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</si>
  <si>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</si>
  <si>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</si>
  <si>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</si>
  <si>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</si>
  <si>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</si>
  <si>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</si>
  <si>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</si>
  <si>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</si>
  <si>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</si>
  <si>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</si>
  <si>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</si>
  <si>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</si>
  <si>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</si>
  <si>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</si>
  <si>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</si>
  <si>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</si>
  <si>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</si>
  <si>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</si>
  <si>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</si>
  <si>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</si>
  <si>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</si>
  <si>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</si>
  <si>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</si>
  <si>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</si>
  <si>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</si>
  <si>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</si>
  <si>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</si>
  <si>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</si>
  <si>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</si>
  <si>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</si>
  <si>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</si>
  <si>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</si>
  <si>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</si>
  <si>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</si>
  <si>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</si>
  <si>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</si>
  <si>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</si>
  <si>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</si>
  <si>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</si>
  <si>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</si>
  <si>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</si>
  <si>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</si>
  <si>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</si>
  <si>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</si>
  <si>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</si>
  <si>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</si>
  <si>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</si>
  <si>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</si>
  <si>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</si>
  <si>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</si>
  <si>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</si>
  <si>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</si>
  <si>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</si>
  <si>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</si>
  <si>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</si>
  <si>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</si>
  <si>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</si>
  <si>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</si>
  <si>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</si>
  <si>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</si>
  <si>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</si>
  <si>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</si>
  <si>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</si>
  <si>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</si>
  <si>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</si>
  <si>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</si>
  <si>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</si>
  <si>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</si>
  <si>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</si>
  <si>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</si>
  <si>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</si>
  <si>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</si>
  <si>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</si>
  <si>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</si>
  <si>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</si>
  <si>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</si>
  <si>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</si>
  <si>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</si>
  <si>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</si>
  <si>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</si>
  <si>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</si>
  <si>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</si>
  <si>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</si>
  <si>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</si>
  <si>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</si>
  <si>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</si>
  <si>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</si>
  <si>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</si>
  <si>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</si>
  <si>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</si>
  <si>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</si>
  <si>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</si>
  <si>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</si>
  <si>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</si>
  <si>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</si>
  <si>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</si>
  <si>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</si>
  <si>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</si>
  <si>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</si>
  <si>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</si>
  <si>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</si>
  <si>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</si>
  <si>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</si>
  <si>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</si>
  <si>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</si>
  <si>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</si>
  <si>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</si>
  <si>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</si>
  <si>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</si>
  <si>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</si>
  <si>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</si>
  <si>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</si>
  <si>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</si>
  <si>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</si>
  <si>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</si>
  <si>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</si>
  <si>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</si>
  <si>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</si>
  <si>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</si>
  <si>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</si>
  <si>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</si>
  <si>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</si>
  <si>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</si>
  <si>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</si>
  <si>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</si>
  <si>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</si>
  <si>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</si>
  <si>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</si>
  <si>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</si>
  <si>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</si>
  <si>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</si>
  <si>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</si>
  <si>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</si>
  <si>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</si>
  <si>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</si>
  <si>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</si>
  <si>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</si>
  <si>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</si>
  <si>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</si>
  <si>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</si>
  <si>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</si>
  <si>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</si>
  <si>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</si>
  <si>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</si>
  <si>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</si>
  <si>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</si>
  <si>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</si>
  <si>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</si>
  <si>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</si>
  <si>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</si>
  <si>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</si>
  <si>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</si>
  <si>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</si>
  <si>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</si>
  <si>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</si>
  <si>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</si>
  <si>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</si>
  <si>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</si>
  <si>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</si>
  <si>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</si>
  <si>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</si>
  <si>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</si>
  <si>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</si>
  <si>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</si>
  <si>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</si>
  <si>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</si>
  <si>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</si>
  <si>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</si>
  <si>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</si>
  <si>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</si>
  <si>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</si>
  <si>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</si>
  <si>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</si>
  <si>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</si>
  <si>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</si>
  <si>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</si>
  <si>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</si>
  <si>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</si>
  <si>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</si>
  <si>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</si>
  <si>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</si>
  <si>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</si>
  <si>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</si>
  <si>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</si>
  <si>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</si>
  <si>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</si>
  <si>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</si>
  <si>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</si>
  <si>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</si>
  <si>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</si>
  <si>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</si>
  <si>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</si>
  <si>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</si>
  <si>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</si>
  <si>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</si>
  <si>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</si>
  <si>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</si>
  <si>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</si>
  <si>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</si>
  <si>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</si>
  <si>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</si>
  <si>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</si>
  <si>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</si>
  <si>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</si>
  <si>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</si>
  <si>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</si>
  <si>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</si>
  <si>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</si>
  <si>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</si>
  <si>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</si>
  <si>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</si>
  <si>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</si>
  <si>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</si>
  <si>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</si>
  <si>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</si>
  <si>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</si>
  <si>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</si>
  <si>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</si>
  <si>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</si>
  <si>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</si>
  <si>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</si>
  <si>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</si>
  <si>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</si>
  <si>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</si>
  <si>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</si>
  <si>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</si>
  <si>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</si>
  <si>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</si>
  <si>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</si>
  <si>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</si>
  <si>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</si>
  <si>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</si>
  <si>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</si>
  <si>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</si>
  <si>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</si>
  <si>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</si>
  <si>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</si>
  <si>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</si>
  <si>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</si>
  <si>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</si>
  <si>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</si>
  <si>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</si>
  <si>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</si>
  <si>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</si>
  <si>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</si>
  <si>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</si>
  <si>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</si>
  <si>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</si>
  <si>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</si>
  <si>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</si>
  <si>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</si>
  <si>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</si>
  <si>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</si>
  <si>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</si>
  <si>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</si>
  <si>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</si>
  <si>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</si>
  <si>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</si>
  <si>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</si>
  <si>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</si>
  <si>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</si>
  <si>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</si>
  <si>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</si>
  <si>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</si>
  <si>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</si>
  <si>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</si>
  <si>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</si>
  <si>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</si>
  <si>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</si>
  <si>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</si>
  <si>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</si>
  <si>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</si>
  <si>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</si>
  <si>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</si>
  <si>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</si>
  <si>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</si>
  <si>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</si>
  <si>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</si>
  <si>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</si>
  <si>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</si>
  <si>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</si>
  <si>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</si>
  <si>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</si>
  <si>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</si>
  <si>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</si>
  <si>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</si>
  <si>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</si>
  <si>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</si>
  <si>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</si>
  <si>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</si>
  <si>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</si>
  <si>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</si>
  <si>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</si>
  <si>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</si>
  <si>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</si>
  <si>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</si>
  <si>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</si>
  <si>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</si>
  <si>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</si>
  <si>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</si>
  <si>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</si>
  <si>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</si>
  <si>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</si>
  <si>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</si>
  <si>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</si>
  <si>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</si>
  <si>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</si>
  <si>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</si>
  <si>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</si>
  <si>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</si>
  <si>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</si>
  <si>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</si>
  <si>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</si>
  <si>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</si>
  <si>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</si>
  <si>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</si>
  <si>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</si>
  <si>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</si>
  <si>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</si>
  <si>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</si>
  <si>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</si>
  <si>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</si>
  <si>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</si>
  <si>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</si>
  <si>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</si>
  <si>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</si>
  <si>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</si>
  <si>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</si>
  <si>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</si>
  <si>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</si>
  <si>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</si>
  <si>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</si>
  <si>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</si>
  <si>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</si>
  <si>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</si>
  <si>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</si>
  <si>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</si>
  <si>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</si>
  <si>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</si>
  <si>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</si>
  <si>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</si>
  <si>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</si>
  <si>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</si>
  <si>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</si>
  <si>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</si>
  <si>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</si>
  <si>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</si>
  <si>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</si>
  <si>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</si>
  <si>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</si>
  <si>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</si>
  <si>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</si>
  <si>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</si>
  <si>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</si>
  <si>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</si>
  <si>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</si>
  <si>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</si>
  <si>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</si>
  <si>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</si>
  <si>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</si>
  <si>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</si>
  <si>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</si>
  <si>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</si>
  <si>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</si>
  <si>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</si>
  <si>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</si>
  <si>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</si>
  <si>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</si>
  <si>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</si>
  <si>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</si>
  <si>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</si>
  <si>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</si>
  <si>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</si>
  <si>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</si>
  <si>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</si>
  <si>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</si>
  <si>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</si>
  <si>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</si>
  <si>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</si>
  <si>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</si>
  <si>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</si>
  <si>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</si>
  <si>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</si>
  <si>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</si>
  <si>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</si>
  <si>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</si>
  <si>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</si>
  <si>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</si>
  <si>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</si>
  <si>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</si>
  <si>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</si>
  <si>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</si>
  <si>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</si>
  <si>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</si>
  <si>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</si>
  <si>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</si>
  <si>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</si>
  <si>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</si>
  <si>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</si>
  <si>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</si>
  <si>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</si>
  <si>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</si>
  <si>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</si>
  <si>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</si>
  <si>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</si>
  <si>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</si>
  <si>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</si>
  <si>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</si>
  <si>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</si>
  <si>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</si>
  <si>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</si>
  <si>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</si>
  <si>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</si>
  <si>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</si>
  <si>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</si>
  <si>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</si>
  <si>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</si>
  <si>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</si>
  <si>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</si>
  <si>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</si>
  <si>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</si>
  <si>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</si>
  <si>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</si>
  <si>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</si>
  <si>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</si>
  <si>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</si>
  <si>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</si>
  <si>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</si>
  <si>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</si>
  <si>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</si>
  <si>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</si>
  <si>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</si>
  <si>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</si>
  <si>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</si>
  <si>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</si>
  <si>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</si>
  <si>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</si>
  <si>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</si>
  <si>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</si>
  <si>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</si>
  <si>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</si>
  <si>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</si>
  <si>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</si>
  <si>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</si>
  <si>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</si>
  <si>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</si>
  <si>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</si>
  <si>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</si>
  <si>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</si>
  <si>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</si>
  <si>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</si>
  <si>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</si>
  <si>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</si>
  <si>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</si>
  <si>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</si>
  <si>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</si>
  <si>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</si>
  <si>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</si>
  <si>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</si>
  <si>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</si>
  <si>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</si>
  <si>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</si>
  <si>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</si>
  <si>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</si>
  <si>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</si>
  <si>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</si>
  <si>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</si>
  <si>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</si>
  <si>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</si>
  <si>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</si>
  <si>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</si>
  <si>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</si>
  <si>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</si>
  <si>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</si>
  <si>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</si>
  <si>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</si>
  <si>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</si>
  <si>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</si>
  <si>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</si>
  <si>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</si>
  <si>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</si>
  <si>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</si>
  <si>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</si>
  <si>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</si>
  <si>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</si>
  <si>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</si>
  <si>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</si>
  <si>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</si>
  <si>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</si>
  <si>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</si>
  <si>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</si>
  <si>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</si>
  <si>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</si>
  <si>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</si>
  <si>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</si>
  <si>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</si>
  <si>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</si>
  <si>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</si>
  <si>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</si>
  <si>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</si>
  <si>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</si>
  <si>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</si>
  <si>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</si>
  <si>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</si>
  <si>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</si>
  <si>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</si>
  <si>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</si>
  <si>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</si>
  <si>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</si>
  <si>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</si>
  <si>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</si>
  <si>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</si>
  <si>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</si>
  <si>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</si>
  <si>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</si>
  <si>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</si>
  <si>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</si>
  <si>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</si>
  <si>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</si>
  <si>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</si>
  <si>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</si>
  <si>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</si>
  <si>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</si>
  <si>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</si>
  <si>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</si>
  <si>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</si>
  <si>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</si>
  <si>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</si>
  <si>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</si>
  <si>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</si>
  <si>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</si>
  <si>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</si>
  <si>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</si>
  <si>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</si>
  <si>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</si>
  <si>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</si>
  <si>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</si>
  <si>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</si>
  <si>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</si>
  <si>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</si>
  <si>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</si>
  <si>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</si>
  <si>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</si>
  <si>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</si>
  <si>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</si>
  <si>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</si>
  <si>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</si>
  <si>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</si>
  <si>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</si>
  <si>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</si>
  <si>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</si>
  <si>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</si>
  <si>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</si>
  <si>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</si>
  <si>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</si>
  <si>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</si>
  <si>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</si>
  <si>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</si>
  <si>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</si>
  <si>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</si>
  <si>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</si>
  <si>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</si>
  <si>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</si>
  <si>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</si>
  <si>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</si>
  <si>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</si>
  <si>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</si>
  <si>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</si>
  <si>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</si>
  <si>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</si>
  <si>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</si>
  <si>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</si>
  <si>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</si>
  <si>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</si>
  <si>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</si>
  <si>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</si>
  <si>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</si>
  <si>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</si>
  <si>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</si>
  <si>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</si>
  <si>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</si>
  <si>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</si>
  <si>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</si>
  <si>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</si>
  <si>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</si>
  <si>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</si>
  <si>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</si>
  <si>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</si>
  <si>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</si>
  <si>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</si>
  <si>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</si>
  <si>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</si>
  <si>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</si>
  <si>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</si>
  <si>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</si>
  <si>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</si>
  <si>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</si>
  <si>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</si>
  <si>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</si>
  <si>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</si>
  <si>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</si>
  <si>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</si>
  <si>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</si>
  <si>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</si>
  <si>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</si>
  <si>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</si>
  <si>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</si>
  <si>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</si>
  <si>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</si>
  <si>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</si>
  <si>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</si>
  <si>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</si>
  <si>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</si>
  <si>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</si>
  <si>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</si>
  <si>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</si>
  <si>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</si>
  <si>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</si>
  <si>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</si>
  <si>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</si>
  <si>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</si>
  <si>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</si>
  <si>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</si>
  <si>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</si>
  <si>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</si>
  <si>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</si>
  <si>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</si>
  <si>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</si>
  <si>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</si>
  <si>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</si>
  <si>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</si>
  <si>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</si>
  <si>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</si>
  <si>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</si>
  <si>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</si>
  <si>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</si>
  <si>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</si>
  <si>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</si>
  <si>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</si>
  <si>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</si>
  <si>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</si>
  <si>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</si>
  <si>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</si>
  <si>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</si>
  <si>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</si>
  <si>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</si>
  <si>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</si>
  <si>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</si>
  <si>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</si>
  <si>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</si>
  <si>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</si>
  <si>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</si>
  <si>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</si>
  <si>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</si>
  <si>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</si>
  <si>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</si>
  <si>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</si>
  <si>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</si>
  <si>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</si>
  <si>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</si>
  <si>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</si>
  <si>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</si>
  <si>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</si>
  <si>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</si>
  <si>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</si>
  <si>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</si>
  <si>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</si>
  <si>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</si>
  <si>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</si>
  <si>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</si>
  <si>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</si>
  <si>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</si>
  <si>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</si>
  <si>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</si>
  <si>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</si>
  <si>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</si>
  <si>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</si>
  <si>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</si>
  <si>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</si>
  <si>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</si>
  <si>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</si>
  <si>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</si>
  <si>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</si>
  <si>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</si>
  <si>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</si>
  <si>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</si>
  <si>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</si>
  <si>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</si>
  <si>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</si>
  <si>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</si>
  <si>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</si>
  <si>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</si>
  <si>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</si>
  <si>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</si>
  <si>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</si>
  <si>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</si>
  <si>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</si>
  <si>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</si>
  <si>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</si>
  <si>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</si>
  <si>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</si>
  <si>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</si>
  <si>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</si>
  <si>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</si>
  <si>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</si>
  <si>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</si>
  <si>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</si>
  <si>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</si>
  <si>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</si>
  <si>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</si>
  <si>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</si>
  <si>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</si>
  <si>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</si>
  <si>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</si>
  <si>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</si>
  <si>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</si>
  <si>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</si>
  <si>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</si>
  <si>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</si>
  <si>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</si>
  <si>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</si>
  <si>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</si>
  <si>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</si>
  <si>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</si>
  <si>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</si>
  <si>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</si>
  <si>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</si>
  <si>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</si>
  <si>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</si>
  <si>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</si>
  <si>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</si>
  <si>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</si>
  <si>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</si>
  <si>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</si>
  <si>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</si>
  <si>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</si>
  <si>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</si>
  <si>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</si>
  <si>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</si>
  <si>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</si>
  <si>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</si>
  <si>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</si>
  <si>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</si>
  <si>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</si>
  <si>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</si>
  <si>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</si>
  <si>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</si>
  <si>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</si>
  <si>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</si>
  <si>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</si>
  <si>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</si>
  <si>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</si>
  <si>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</si>
  <si>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</si>
  <si>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</si>
  <si>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</si>
  <si>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</si>
  <si>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</si>
  <si>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</si>
  <si>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</si>
  <si>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</si>
  <si>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</si>
  <si>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</si>
  <si>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</si>
  <si>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</si>
  <si>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</si>
  <si>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</si>
  <si>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</si>
  <si>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</si>
  <si>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</si>
  <si>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</si>
  <si>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</si>
  <si>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</si>
  <si>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</si>
  <si>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</si>
  <si>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</si>
  <si>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</si>
  <si>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</si>
  <si>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</si>
  <si>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</si>
  <si>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</si>
  <si>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</si>
  <si>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</si>
  <si>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</si>
  <si>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</si>
  <si>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</si>
  <si>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</si>
  <si>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</si>
  <si>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</si>
  <si>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</si>
  <si>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</si>
  <si>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</si>
  <si>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</si>
  <si>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</si>
  <si>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</si>
  <si>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</si>
  <si>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</si>
  <si>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</si>
  <si>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</si>
  <si>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</si>
  <si>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</si>
  <si>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</si>
  <si>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</si>
  <si>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</si>
  <si>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</si>
  <si>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</si>
  <si>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</si>
  <si>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</si>
  <si>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</si>
  <si>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</si>
  <si>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</si>
  <si>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</si>
  <si>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</si>
  <si>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</si>
  <si>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</si>
  <si>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</si>
  <si>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</si>
  <si>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</si>
  <si>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</si>
  <si>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</si>
  <si>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</si>
  <si>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</si>
  <si>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</si>
  <si>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</si>
  <si>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</si>
  <si>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</si>
  <si>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</si>
  <si>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</si>
  <si>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</si>
  <si>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</si>
  <si>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</si>
  <si>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</si>
  <si>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</si>
  <si>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</si>
  <si>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</si>
  <si>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</si>
  <si>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</si>
  <si>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</si>
  <si>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</si>
  <si>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</si>
  <si>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</si>
  <si>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</si>
  <si>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</si>
  <si>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</si>
  <si>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</si>
  <si>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</si>
  <si>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</si>
  <si>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</si>
  <si>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</si>
  <si>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</si>
  <si>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</si>
  <si>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</si>
  <si>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</si>
  <si>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</si>
  <si>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</si>
  <si>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</si>
  <si>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</si>
  <si>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</si>
  <si>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</si>
  <si>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</si>
  <si>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</si>
  <si>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</si>
  <si>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</si>
  <si>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</si>
  <si>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</si>
  <si>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</si>
  <si>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</si>
  <si>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</si>
  <si>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</si>
  <si>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</si>
  <si>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</si>
  <si>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</si>
  <si>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</si>
  <si>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</si>
  <si>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</si>
  <si>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</si>
  <si>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</si>
  <si>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</si>
  <si>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</si>
  <si>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</si>
  <si>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</si>
  <si>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</si>
  <si>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</si>
  <si>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</si>
  <si>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</si>
  <si>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</si>
  <si>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</si>
  <si>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</si>
  <si>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</si>
  <si>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</si>
  <si>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</si>
  <si>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</si>
  <si>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</si>
  <si>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</si>
  <si>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</si>
  <si>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</si>
  <si>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</si>
  <si>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</si>
  <si>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</si>
  <si>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</si>
  <si>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</si>
  <si>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</si>
  <si>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</si>
  <si>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</si>
  <si>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</si>
  <si>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</si>
  <si>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</si>
  <si>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</si>
  <si>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</si>
  <si>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</si>
  <si>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</si>
  <si>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</si>
  <si>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</si>
  <si>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</si>
  <si>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</si>
  <si>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</si>
  <si>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</si>
  <si>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</si>
  <si>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</si>
  <si>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</si>
  <si>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</si>
  <si>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</si>
  <si>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</si>
  <si>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</si>
  <si>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</si>
  <si>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</si>
  <si>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</si>
  <si>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</si>
  <si>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</si>
  <si>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</si>
  <si>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</si>
  <si>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</si>
  <si>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</si>
  <si>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</si>
  <si>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</si>
  <si>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</si>
  <si>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</si>
  <si>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</si>
  <si>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</si>
  <si>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</si>
  <si>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</si>
  <si>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</si>
  <si>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</si>
  <si>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</si>
  <si>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</si>
  <si>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</si>
  <si>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</si>
  <si>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</si>
  <si>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</si>
  <si>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</si>
  <si>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</si>
  <si>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</si>
  <si>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</si>
  <si>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</si>
  <si>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</si>
  <si>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</si>
  <si>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</si>
  <si>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</si>
  <si>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</si>
  <si>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</si>
  <si>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</si>
  <si>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</si>
  <si>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</si>
  <si>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</si>
  <si>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</si>
  <si>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</si>
  <si>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</si>
  <si>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</si>
  <si>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orders</t>
  </si>
  <si>
    <t>Qty</t>
  </si>
  <si>
    <t>Deliver</t>
  </si>
  <si>
    <t>Average of Rating C</t>
  </si>
  <si>
    <t>Average of Days to Deliver</t>
  </si>
  <si>
    <t>Row Labels</t>
  </si>
  <si>
    <t>Grand Total</t>
  </si>
  <si>
    <t>Column Labels</t>
  </si>
  <si>
    <t>Female</t>
  </si>
  <si>
    <t>Male</t>
  </si>
  <si>
    <t>Other</t>
  </si>
  <si>
    <t>Unknown</t>
  </si>
  <si>
    <t>for matrix</t>
  </si>
  <si>
    <t>6 to 10</t>
  </si>
  <si>
    <t>more than 10</t>
  </si>
  <si>
    <t>state</t>
  </si>
  <si>
    <t>county</t>
  </si>
  <si>
    <t>map chart (Qty)</t>
  </si>
  <si>
    <t>Map chart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</si>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</sst>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n">
        <color theme="4" tint="0.3999755851924192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0" borderId="2" xfId="0" applyBorder="1"/>
    <xf numFmtId="0" fontId="0" fillId="0" borderId="5" xfId="0"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xf numFmtId="165" fontId="0" fillId="0" borderId="3" xfId="0" applyNumberFormat="1" applyBorder="1"/>
    <xf numFmtId="165" fontId="0" fillId="0" borderId="4" xfId="0" applyNumberFormat="1" applyBorder="1"/>
    <xf numFmtId="0" fontId="1" fillId="0" borderId="0" xfId="0" applyFont="1"/>
    <xf numFmtId="0" fontId="1" fillId="0" borderId="1" xfId="0" applyFont="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[ecommerce_dashBoard.xlsx]Sheet1!pvt_quantity</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4759405074368"/>
          <c:y val="0.24476633129192185"/>
          <c:w val="0.7724356955380578"/>
          <c:h val="0.46117782152230974"/>
        </c:manualLayout>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1</c:v>
                </c:pt>
                <c:pt idx="1">
                  <c:v>2</c:v>
                </c:pt>
                <c:pt idx="2">
                  <c:v>3</c:v>
                </c:pt>
                <c:pt idx="3">
                  <c:v>4</c:v>
                </c:pt>
                <c:pt idx="4">
                  <c:v>5</c:v>
                </c:pt>
                <c:pt idx="5">
                  <c:v>6 to 10</c:v>
                </c:pt>
                <c:pt idx="6">
                  <c:v>more than 10</c:v>
                </c:pt>
              </c:strCache>
            </c:strRef>
          </c:cat>
          <c:val>
            <c:numRef>
              <c:f>Sheet1!$B$17:$B$24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50D-4114-B431-1BFEBB9EF79C}"/>
            </c:ext>
          </c:extLst>
        </c:ser>
        <c:dLbls>
          <c:showLegendKey val="0"/>
          <c:showVal val="0"/>
          <c:showCatName val="0"/>
          <c:showSerName val="0"/>
          <c:showPercent val="0"/>
          <c:showBubbleSize val="0"/>
        </c:dLbls>
        <c:gapWidth val="219"/>
        <c:overlap val="-27"/>
        <c:axId val="8934992"/>
        <c:axId val="8923472"/>
      </c:barChart>
      <c:catAx>
        <c:axId val="89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3472"/>
        <c:crosses val="autoZero"/>
        <c:auto val="1"/>
        <c:lblAlgn val="ctr"/>
        <c:lblOffset val="100"/>
        <c:noMultiLvlLbl val="0"/>
      </c:catAx>
      <c:valAx>
        <c:axId val="89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[ecommerce_dashBoard.xlsx]Sheet1!pvt_product</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Sheet1!$B$28:$B$29</c:f>
              <c:strCache>
                <c:ptCount val="1"/>
                <c:pt idx="0">
                  <c:v>Female</c:v>
                </c:pt>
              </c:strCache>
            </c:strRef>
          </c:tx>
          <c:spPr>
            <a:solidFill>
              <a:schemeClr val="accent1"/>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Sheet1!$B$30:$B$50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4CB4-4951-BFF6-705003A2F9C6}"/>
            </c:ext>
          </c:extLst>
        </c:ser>
        <c:ser>
          <c:idx val="1"/>
          <c:order val="1"/>
          <c:tx>
            <c:strRef>
              <c:f>Sheet1!$C$28:$C$29</c:f>
              <c:strCache>
                <c:ptCount val="1"/>
                <c:pt idx="0">
                  <c:v>Male</c:v>
                </c:pt>
              </c:strCache>
            </c:strRef>
          </c:tx>
          <c:spPr>
            <a:solidFill>
              <a:schemeClr val="accent2"/>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Sheet1!$C$30:$C$50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4CB4-4951-BFF6-705003A2F9C6}"/>
            </c:ext>
          </c:extLst>
        </c:ser>
        <c:ser>
          <c:idx val="2"/>
          <c:order val="2"/>
          <c:tx>
            <c:strRef>
              <c:f>Sheet1!$D$28:$D$29</c:f>
              <c:strCache>
                <c:ptCount val="1"/>
                <c:pt idx="0">
                  <c:v>Other</c:v>
                </c:pt>
              </c:strCache>
            </c:strRef>
          </c:tx>
          <c:spPr>
            <a:solidFill>
              <a:schemeClr val="accent3"/>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Sheet1!$D$30:$D$50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CB4-4951-BFF6-705003A2F9C6}"/>
            </c:ext>
          </c:extLst>
        </c:ser>
        <c:ser>
          <c:idx val="3"/>
          <c:order val="3"/>
          <c:tx>
            <c:strRef>
              <c:f>Sheet1!$E$28:$E$29</c:f>
              <c:strCache>
                <c:ptCount val="1"/>
                <c:pt idx="0">
                  <c:v>Unknown</c:v>
                </c:pt>
              </c:strCache>
            </c:strRef>
          </c:tx>
          <c:spPr>
            <a:solidFill>
              <a:schemeClr val="accent4"/>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Sheet1!$E$30:$E$50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CB4-4951-BFF6-705003A2F9C6}"/>
            </c:ext>
          </c:extLst>
        </c:ser>
        <c:dLbls>
          <c:showLegendKey val="0"/>
          <c:showVal val="0"/>
          <c:showCatName val="0"/>
          <c:showSerName val="0"/>
          <c:showPercent val="0"/>
          <c:showBubbleSize val="0"/>
        </c:dLbls>
        <c:gapWidth val="150"/>
        <c:overlap val="100"/>
        <c:axId val="8928752"/>
        <c:axId val="8947472"/>
      </c:barChart>
      <c:catAx>
        <c:axId val="892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472"/>
        <c:crosses val="autoZero"/>
        <c:auto val="1"/>
        <c:lblAlgn val="ctr"/>
        <c:lblOffset val="100"/>
        <c:noMultiLvlLbl val="0"/>
      </c:catAx>
      <c:valAx>
        <c:axId val="894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[ecommerce_dashBoard.xlsx]Sheet1!piechart</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Sheet1!$R$33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81-4A70-ABE3-4EBCEABAC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81-4A70-ABE3-4EBCEABAC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81-4A70-ABE3-4EBCEABACF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81-4A70-ABE3-4EBCEABACF5B}"/>
              </c:ext>
            </c:extLst>
          </c:dPt>
          <c:cat>
            <c:strRef>
              <c:f>Sheet1!$Q$34:$Q$38</c:f>
              <c:strCache>
                <c:ptCount val="4"/>
                <c:pt idx="0">
                  <c:v>Female</c:v>
                </c:pt>
                <c:pt idx="1">
                  <c:v>Male</c:v>
                </c:pt>
                <c:pt idx="2">
                  <c:v>Other</c:v>
                </c:pt>
                <c:pt idx="3">
                  <c:v>Unknown</c:v>
                </c:pt>
              </c:strCache>
            </c:strRef>
          </c:cat>
          <c:val>
            <c:numRef>
              <c:f>Sheet1!$R$34:$R$38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E490-424B-9415-B4CCD2A830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Sheet1!$A$62:$A$77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Sheet1!$B$62:$B$77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43C-48D8-B8B5-773005A94399}"/>
            </c:ext>
          </c:extLst>
        </c:ser>
        <c:dLbls>
          <c:showLegendKey val="0"/>
          <c:showVal val="0"/>
          <c:showCatName val="0"/>
          <c:showSerName val="0"/>
          <c:showPercent val="0"/>
          <c:showBubbleSize val="0"/>
        </c:dLbls>
        <c:gapWidth val="10"/>
        <c:overlap val="-27"/>
        <c:axId val="472272016"/>
        <c:axId val="472273936"/>
      </c:barChart>
      <c:catAx>
        <c:axId val="47227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73936"/>
        <c:crosses val="autoZero"/>
        <c:auto val="1"/>
        <c:lblAlgn val="ctr"/>
        <c:lblOffset val="100"/>
        <c:noMultiLvlLbl val="0"/>
      </c:catAx>
      <c:valAx>
        <c:axId val="47227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720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pivots!$B$30:$B$31</c:f>
              <c:strCache>
                <c:ptCount val="1"/>
                <c:pt idx="0">
                  <c:v>1</c:v>
                </c:pt>
              </c:strCache>
            </c:strRef>
          </c:tx>
          <c:spPr>
            <a:solidFill>
              <a:schemeClr val="accent1"/>
            </a:solidFill>
            <a:ln>
              <a:noFill/>
            </a:ln>
            <a:effectLst/>
          </c:spPr>
          <c:invertIfNegative val="0"/>
          <c:cat>
            <c:strRef>
              <c:f>pivots!$A$32:$A$35</c:f>
              <c:strCache>
                <c:ptCount val="3"/>
                <c:pt idx="0">
                  <c:v>Jan</c:v>
                </c:pt>
                <c:pt idx="1">
                  <c:v>Feb</c:v>
                </c:pt>
                <c:pt idx="2">
                  <c:v>Mar</c:v>
                </c:pt>
              </c:strCache>
            </c:strRef>
          </c:cat>
          <c:val>
            <c:numRef>
              <c:f>pivots!$B$32:$B$35</c:f>
              <c:numCache>
                <c:formatCode>General</c:formatCode>
                <c:ptCount val="3"/>
                <c:pt idx="0">
                  <c:v>7</c:v>
                </c:pt>
                <c:pt idx="1">
                  <c:v>8</c:v>
                </c:pt>
                <c:pt idx="2">
                  <c:v>6</c:v>
                </c:pt>
              </c:numCache>
            </c:numRef>
          </c:val>
          <c:extLst>
            <c:ext xmlns:c16="http://schemas.microsoft.com/office/drawing/2014/chart" uri="{C3380CC4-5D6E-409C-BE32-E72D297353CC}">
              <c16:uniqueId val="{00000000-5309-4BAB-867B-799E409C23CC}"/>
            </c:ext>
          </c:extLst>
        </c:ser>
        <c:ser>
          <c:idx val="1"/>
          <c:order val="1"/>
          <c:tx>
            <c:strRef>
              <c:f>pivots!$C$30:$C$31</c:f>
              <c:strCache>
                <c:ptCount val="1"/>
                <c:pt idx="0">
                  <c:v>2</c:v>
                </c:pt>
              </c:strCache>
            </c:strRef>
          </c:tx>
          <c:spPr>
            <a:solidFill>
              <a:schemeClr val="accent2"/>
            </a:solidFill>
            <a:ln>
              <a:noFill/>
            </a:ln>
            <a:effectLst/>
          </c:spPr>
          <c:invertIfNegative val="0"/>
          <c:cat>
            <c:strRef>
              <c:f>pivots!$A$32:$A$35</c:f>
              <c:strCache>
                <c:ptCount val="3"/>
                <c:pt idx="0">
                  <c:v>Jan</c:v>
                </c:pt>
                <c:pt idx="1">
                  <c:v>Feb</c:v>
                </c:pt>
                <c:pt idx="2">
                  <c:v>Mar</c:v>
                </c:pt>
              </c:strCache>
            </c:strRef>
          </c:cat>
          <c:val>
            <c:numRef>
              <c:f>pivots!$C$32:$C$35</c:f>
              <c:numCache>
                <c:formatCode>General</c:formatCode>
                <c:ptCount val="3"/>
                <c:pt idx="0">
                  <c:v>37</c:v>
                </c:pt>
                <c:pt idx="1">
                  <c:v>51</c:v>
                </c:pt>
                <c:pt idx="2">
                  <c:v>39</c:v>
                </c:pt>
              </c:numCache>
            </c:numRef>
          </c:val>
          <c:extLst>
            <c:ext xmlns:c16="http://schemas.microsoft.com/office/drawing/2014/chart" uri="{C3380CC4-5D6E-409C-BE32-E72D297353CC}">
              <c16:uniqueId val="{00000001-5309-4BAB-867B-799E409C23CC}"/>
            </c:ext>
          </c:extLst>
        </c:ser>
        <c:ser>
          <c:idx val="2"/>
          <c:order val="2"/>
          <c:tx>
            <c:strRef>
              <c:f>pivots!$D$30:$D$31</c:f>
              <c:strCache>
                <c:ptCount val="1"/>
                <c:pt idx="0">
                  <c:v>3</c:v>
                </c:pt>
              </c:strCache>
            </c:strRef>
          </c:tx>
          <c:spPr>
            <a:solidFill>
              <a:schemeClr val="accent3"/>
            </a:solidFill>
            <a:ln>
              <a:noFill/>
            </a:ln>
            <a:effectLst/>
          </c:spPr>
          <c:invertIfNegative val="0"/>
          <c:cat>
            <c:strRef>
              <c:f>pivots!$A$32:$A$35</c:f>
              <c:strCache>
                <c:ptCount val="3"/>
                <c:pt idx="0">
                  <c:v>Jan</c:v>
                </c:pt>
                <c:pt idx="1">
                  <c:v>Feb</c:v>
                </c:pt>
                <c:pt idx="2">
                  <c:v>Mar</c:v>
                </c:pt>
              </c:strCache>
            </c:strRef>
          </c:cat>
          <c:val>
            <c:numRef>
              <c:f>pivots!$D$32:$D$35</c:f>
              <c:numCache>
                <c:formatCode>General</c:formatCode>
                <c:ptCount val="3"/>
                <c:pt idx="0">
                  <c:v>150</c:v>
                </c:pt>
                <c:pt idx="1">
                  <c:v>182</c:v>
                </c:pt>
                <c:pt idx="2">
                  <c:v>163</c:v>
                </c:pt>
              </c:numCache>
            </c:numRef>
          </c:val>
          <c:extLst>
            <c:ext xmlns:c16="http://schemas.microsoft.com/office/drawing/2014/chart" uri="{C3380CC4-5D6E-409C-BE32-E72D297353CC}">
              <c16:uniqueId val="{00000002-5309-4BAB-867B-799E409C23CC}"/>
            </c:ext>
          </c:extLst>
        </c:ser>
        <c:ser>
          <c:idx val="3"/>
          <c:order val="3"/>
          <c:tx>
            <c:strRef>
              <c:f>pivots!$E$30:$E$31</c:f>
              <c:strCache>
                <c:ptCount val="1"/>
                <c:pt idx="0">
                  <c:v>4</c:v>
                </c:pt>
              </c:strCache>
            </c:strRef>
          </c:tx>
          <c:spPr>
            <a:solidFill>
              <a:schemeClr val="accent4"/>
            </a:solidFill>
            <a:ln>
              <a:noFill/>
            </a:ln>
            <a:effectLst/>
          </c:spPr>
          <c:invertIfNegative val="0"/>
          <c:cat>
            <c:strRef>
              <c:f>pivots!$A$32:$A$35</c:f>
              <c:strCache>
                <c:ptCount val="3"/>
                <c:pt idx="0">
                  <c:v>Jan</c:v>
                </c:pt>
                <c:pt idx="1">
                  <c:v>Feb</c:v>
                </c:pt>
                <c:pt idx="2">
                  <c:v>Mar</c:v>
                </c:pt>
              </c:strCache>
            </c:strRef>
          </c:cat>
          <c:val>
            <c:numRef>
              <c:f>pivots!$E$32:$E$35</c:f>
              <c:numCache>
                <c:formatCode>General</c:formatCode>
                <c:ptCount val="3"/>
                <c:pt idx="0">
                  <c:v>312</c:v>
                </c:pt>
                <c:pt idx="1">
                  <c:v>373</c:v>
                </c:pt>
                <c:pt idx="2">
                  <c:v>351</c:v>
                </c:pt>
              </c:numCache>
            </c:numRef>
          </c:val>
          <c:extLst>
            <c:ext xmlns:c16="http://schemas.microsoft.com/office/drawing/2014/chart" uri="{C3380CC4-5D6E-409C-BE32-E72D297353CC}">
              <c16:uniqueId val="{00000000-5E8D-4746-9B88-DD85F376B343}"/>
            </c:ext>
          </c:extLst>
        </c:ser>
        <c:ser>
          <c:idx val="4"/>
          <c:order val="4"/>
          <c:tx>
            <c:strRef>
              <c:f>pivots!$F$30:$F$31</c:f>
              <c:strCache>
                <c:ptCount val="1"/>
                <c:pt idx="0">
                  <c:v>5</c:v>
                </c:pt>
              </c:strCache>
            </c:strRef>
          </c:tx>
          <c:spPr>
            <a:solidFill>
              <a:schemeClr val="accent5"/>
            </a:solidFill>
            <a:ln>
              <a:noFill/>
            </a:ln>
            <a:effectLst/>
          </c:spPr>
          <c:invertIfNegative val="0"/>
          <c:cat>
            <c:strRef>
              <c:f>pivots!$A$32:$A$35</c:f>
              <c:strCache>
                <c:ptCount val="3"/>
                <c:pt idx="0">
                  <c:v>Jan</c:v>
                </c:pt>
                <c:pt idx="1">
                  <c:v>Feb</c:v>
                </c:pt>
                <c:pt idx="2">
                  <c:v>Mar</c:v>
                </c:pt>
              </c:strCache>
            </c:strRef>
          </c:cat>
          <c:val>
            <c:numRef>
              <c:f>pivots!$F$32:$F$35</c:f>
              <c:numCache>
                <c:formatCode>General</c:formatCode>
                <c:ptCount val="3"/>
                <c:pt idx="0">
                  <c:v>224</c:v>
                </c:pt>
                <c:pt idx="1">
                  <c:v>247</c:v>
                </c:pt>
                <c:pt idx="2">
                  <c:v>250</c:v>
                </c:pt>
              </c:numCache>
            </c:numRef>
          </c:val>
          <c:extLst>
            <c:ext xmlns:c16="http://schemas.microsoft.com/office/drawing/2014/chart" uri="{C3380CC4-5D6E-409C-BE32-E72D297353CC}">
              <c16:uniqueId val="{00000002-5E8D-4746-9B88-DD85F376B343}"/>
            </c:ext>
          </c:extLst>
        </c:ser>
        <c:dLbls>
          <c:showLegendKey val="0"/>
          <c:showVal val="0"/>
          <c:showCatName val="0"/>
          <c:showSerName val="0"/>
          <c:showPercent val="0"/>
          <c:showBubbleSize val="0"/>
        </c:dLbls>
        <c:gapWidth val="219"/>
        <c:overlap val="-27"/>
        <c:axId val="472285456"/>
        <c:axId val="472281136"/>
      </c:barChart>
      <c:catAx>
        <c:axId val="47228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1136"/>
        <c:crosses val="autoZero"/>
        <c:auto val="1"/>
        <c:lblAlgn val="ctr"/>
        <c:lblOffset val="100"/>
        <c:noMultiLvlLbl val="0"/>
      </c:catAx>
      <c:valAx>
        <c:axId val="47228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[ecommerce_dashBoard.xlsx]pivots!pvt_trend</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Last</a:t>
            </a:r>
            <a:r>
              <a:rPr lang="en-IN" baseline="0">
                <a:solidFill>
                  <a:schemeClr val="tx1"/>
                </a:solidFill>
              </a:rPr>
              <a:t> 13 Week Trends-Qty&amp; Amount</a:t>
            </a:r>
            <a:endParaRPr lang="en-IN">
              <a:solidFill>
                <a:schemeClr val="tx1"/>
              </a:solidFill>
            </a:endParaRPr>
          </a:p>
        </c:rich>
      </c:tx>
      <c:layout>
        <c:manualLayout>
          <c:xMode val="edge"/>
          <c:yMode val="edge"/>
          <c:x val="0.11244140644113243"/>
          <c:y val="1.584734598511116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8943603393779"/>
          <c:y val="8.0252724854902258E-2"/>
          <c:w val="0.73291157730725354"/>
          <c:h val="0.82716176435392386"/>
        </c:manualLayout>
      </c:layout>
      <c:lineChart>
        <c:grouping val="standard"/>
        <c:varyColors val="0"/>
        <c:ser>
          <c:idx val="0"/>
          <c:order val="0"/>
          <c:tx>
            <c:strRef>
              <c:f>pivots!$B$9</c:f>
              <c:strCache>
                <c:ptCount val="1"/>
                <c:pt idx="0">
                  <c:v>Sum of Quantity</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868-4061-8D01-8457EBDF787F}"/>
            </c:ext>
          </c:extLst>
        </c:ser>
        <c:dLbls>
          <c:showLegendKey val="0"/>
          <c:showVal val="0"/>
          <c:showCatName val="0"/>
          <c:showSerName val="0"/>
          <c:showPercent val="0"/>
          <c:showBubbleSize val="0"/>
        </c:dLbls>
        <c:marker val="1"/>
        <c:smooth val="0"/>
        <c:axId val="8902352"/>
        <c:axId val="8900432"/>
      </c:lineChart>
      <c:lineChart>
        <c:grouping val="standard"/>
        <c:varyColors val="0"/>
        <c:ser>
          <c:idx val="1"/>
          <c:order val="1"/>
          <c:tx>
            <c:strRef>
              <c:f>pivots!$C$9</c:f>
              <c:strCache>
                <c:ptCount val="1"/>
                <c:pt idx="0">
                  <c:v>Sum of Amount</c:v>
                </c:pt>
              </c:strCache>
            </c:strRef>
          </c:tx>
          <c:spPr>
            <a:ln w="28575" cap="rnd">
              <a:solidFill>
                <a:schemeClr val="tx1"/>
              </a:solidFill>
              <a:round/>
            </a:ln>
            <a:effectLst/>
          </c:spPr>
          <c:marker>
            <c:symbol val="circle"/>
            <c:size val="5"/>
            <c:spPr>
              <a:solidFill>
                <a:schemeClr val="accent2"/>
              </a:solidFill>
              <a:ln w="9525">
                <a:solidFill>
                  <a:schemeClr val="tx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 #,##0.00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868-4061-8D01-8457EBDF787F}"/>
            </c:ext>
          </c:extLst>
        </c:ser>
        <c:dLbls>
          <c:showLegendKey val="0"/>
          <c:showVal val="0"/>
          <c:showCatName val="0"/>
          <c:showSerName val="0"/>
          <c:showPercent val="0"/>
          <c:showBubbleSize val="0"/>
        </c:dLbls>
        <c:marker val="1"/>
        <c:smooth val="0"/>
        <c:axId val="8913872"/>
        <c:axId val="8909552"/>
      </c:lineChart>
      <c:catAx>
        <c:axId val="89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32"/>
        <c:crosses val="autoZero"/>
        <c:auto val="1"/>
        <c:lblAlgn val="ctr"/>
        <c:lblOffset val="100"/>
        <c:noMultiLvlLbl val="0"/>
      </c:catAx>
      <c:valAx>
        <c:axId val="89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352"/>
        <c:crosses val="autoZero"/>
        <c:crossBetween val="between"/>
      </c:valAx>
      <c:valAx>
        <c:axId val="8909552"/>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872"/>
        <c:crosses val="max"/>
        <c:crossBetween val="between"/>
      </c:valAx>
      <c:catAx>
        <c:axId val="8913872"/>
        <c:scaling>
          <c:orientation val="minMax"/>
        </c:scaling>
        <c:delete val="1"/>
        <c:axPos val="b"/>
        <c:numFmt formatCode="General" sourceLinked="1"/>
        <c:majorTickMark val="out"/>
        <c:minorTickMark val="none"/>
        <c:tickLblPos val="nextTo"/>
        <c:crossAx val="8909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[ecommerce_dashBoard.xlsx]Sheet1!pvt_quantity</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4815361674868"/>
          <c:y val="0.33419475782900687"/>
          <c:w val="0.7724356955380578"/>
          <c:h val="0.46117782152230974"/>
        </c:manualLayout>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Sheet1!$A$17:$A$24</c:f>
              <c:strCache>
                <c:ptCount val="7"/>
                <c:pt idx="0">
                  <c:v>1</c:v>
                </c:pt>
                <c:pt idx="1">
                  <c:v>2</c:v>
                </c:pt>
                <c:pt idx="2">
                  <c:v>3</c:v>
                </c:pt>
                <c:pt idx="3">
                  <c:v>4</c:v>
                </c:pt>
                <c:pt idx="4">
                  <c:v>5</c:v>
                </c:pt>
                <c:pt idx="5">
                  <c:v>6 to 10</c:v>
                </c:pt>
                <c:pt idx="6">
                  <c:v>more than 10</c:v>
                </c:pt>
              </c:strCache>
            </c:strRef>
          </c:cat>
          <c:val>
            <c:numRef>
              <c:f>Sheet1!$B$17:$B$24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450-4A60-994D-DFE4DDBE1023}"/>
            </c:ext>
          </c:extLst>
        </c:ser>
        <c:dLbls>
          <c:dLblPos val="outEnd"/>
          <c:showLegendKey val="0"/>
          <c:showVal val="1"/>
          <c:showCatName val="0"/>
          <c:showSerName val="0"/>
          <c:showPercent val="0"/>
          <c:showBubbleSize val="0"/>
        </c:dLbls>
        <c:gapWidth val="2"/>
        <c:overlap val="-27"/>
        <c:axId val="8934992"/>
        <c:axId val="8923472"/>
      </c:barChart>
      <c:catAx>
        <c:axId val="893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23472"/>
        <c:crosses val="autoZero"/>
        <c:auto val="1"/>
        <c:lblAlgn val="ctr"/>
        <c:lblOffset val="100"/>
        <c:noMultiLvlLbl val="0"/>
      </c:catAx>
      <c:valAx>
        <c:axId val="8923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[ecommerce_dashBoard.xlsx]Sheet1!pvt_product</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Which</a:t>
            </a:r>
            <a:r>
              <a:rPr lang="en-IN" b="1" baseline="0">
                <a:solidFill>
                  <a:schemeClr val="tx1"/>
                </a:solidFill>
              </a:rPr>
              <a:t> products are popular</a:t>
            </a:r>
            <a:endParaRPr lang="en-IN" b="1">
              <a:solidFill>
                <a:schemeClr val="tx1"/>
              </a:solidFill>
            </a:endParaRPr>
          </a:p>
        </c:rich>
      </c:tx>
      <c:layout>
        <c:manualLayout>
          <c:xMode val="edge"/>
          <c:yMode val="edge"/>
          <c:x val="0.21901161732216048"/>
          <c:y val="3.343749860128573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3453951414893"/>
          <c:y val="0.12576606757376196"/>
          <c:w val="0.54055365720794335"/>
          <c:h val="0.84714074424299746"/>
        </c:manualLayout>
      </c:layout>
      <c:barChart>
        <c:barDir val="bar"/>
        <c:grouping val="stacked"/>
        <c:varyColors val="0"/>
        <c:ser>
          <c:idx val="0"/>
          <c:order val="0"/>
          <c:tx>
            <c:strRef>
              <c:f>Sheet1!$B$28:$B$29</c:f>
              <c:strCache>
                <c:ptCount val="1"/>
                <c:pt idx="0">
                  <c:v>Female</c:v>
                </c:pt>
              </c:strCache>
            </c:strRef>
          </c:tx>
          <c:spPr>
            <a:solidFill>
              <a:schemeClr val="tx1"/>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Sheet1!$B$30:$B$50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420-40DC-B6EF-107AE02427EA}"/>
            </c:ext>
          </c:extLst>
        </c:ser>
        <c:ser>
          <c:idx val="1"/>
          <c:order val="1"/>
          <c:tx>
            <c:strRef>
              <c:f>Sheet1!$C$28:$C$29</c:f>
              <c:strCache>
                <c:ptCount val="1"/>
                <c:pt idx="0">
                  <c:v>Male</c:v>
                </c:pt>
              </c:strCache>
            </c:strRef>
          </c:tx>
          <c:spPr>
            <a:solidFill>
              <a:schemeClr val="accent2"/>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Sheet1!$C$30:$C$50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420-40DC-B6EF-107AE02427EA}"/>
            </c:ext>
          </c:extLst>
        </c:ser>
        <c:ser>
          <c:idx val="2"/>
          <c:order val="2"/>
          <c:tx>
            <c:strRef>
              <c:f>Sheet1!$D$28:$D$29</c:f>
              <c:strCache>
                <c:ptCount val="1"/>
                <c:pt idx="0">
                  <c:v>Other</c:v>
                </c:pt>
              </c:strCache>
            </c:strRef>
          </c:tx>
          <c:spPr>
            <a:solidFill>
              <a:schemeClr val="accent3"/>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Sheet1!$D$30:$D$50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420-40DC-B6EF-107AE02427EA}"/>
            </c:ext>
          </c:extLst>
        </c:ser>
        <c:ser>
          <c:idx val="3"/>
          <c:order val="3"/>
          <c:tx>
            <c:strRef>
              <c:f>Sheet1!$E$28:$E$29</c:f>
              <c:strCache>
                <c:ptCount val="1"/>
                <c:pt idx="0">
                  <c:v>Unknown</c:v>
                </c:pt>
              </c:strCache>
            </c:strRef>
          </c:tx>
          <c:spPr>
            <a:solidFill>
              <a:schemeClr val="accent4"/>
            </a:solidFill>
            <a:ln>
              <a:noFill/>
            </a:ln>
            <a:effectLst/>
          </c:spPr>
          <c:invertIfNegative val="0"/>
          <c:cat>
            <c:strRef>
              <c:f>Sheet1!$A$30:$A$50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Sheet1!$E$30:$E$50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420-40DC-B6EF-107AE02427EA}"/>
            </c:ext>
          </c:extLst>
        </c:ser>
        <c:dLbls>
          <c:showLegendKey val="0"/>
          <c:showVal val="0"/>
          <c:showCatName val="0"/>
          <c:showSerName val="0"/>
          <c:showPercent val="0"/>
          <c:showBubbleSize val="0"/>
        </c:dLbls>
        <c:gapWidth val="30"/>
        <c:overlap val="100"/>
        <c:axId val="8928752"/>
        <c:axId val="8947472"/>
      </c:barChart>
      <c:catAx>
        <c:axId val="892875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472"/>
        <c:crosses val="autoZero"/>
        <c:auto val="1"/>
        <c:lblAlgn val="ctr"/>
        <c:lblOffset val="100"/>
        <c:noMultiLvlLbl val="0"/>
      </c:catAx>
      <c:valAx>
        <c:axId val="89474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752"/>
        <c:crosses val="autoZero"/>
        <c:crossBetween val="between"/>
      </c:valAx>
      <c:spPr>
        <a:noFill/>
        <a:ln>
          <a:noFill/>
        </a:ln>
        <a:effectLst/>
      </c:spPr>
    </c:plotArea>
    <c:legend>
      <c:legendPos val="l"/>
      <c:layout>
        <c:manualLayout>
          <c:xMode val="edge"/>
          <c:yMode val="edge"/>
          <c:x val="9.433962264150943E-3"/>
          <c:y val="0.24307068429379353"/>
          <c:w val="0.15607438221165751"/>
          <c:h val="0.2598170609736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[ecommerce_dashBoard.xlsx]Sheet1!piechart</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035598705501618"/>
              <c:y val="-0.2556237218813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1844660194174756"/>
              <c:y val="0.21472392638036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7508090614886732"/>
              <c:y val="-0.17382413087934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0744336569579289"/>
              <c:y val="-0.10224948875255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Sheet1!$R$33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22-43F1-BABD-A0BD8CB85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22-43F1-BABD-A0BD8CB854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22-43F1-BABD-A0BD8CB854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22-43F1-BABD-A0BD8CB854AC}"/>
              </c:ext>
            </c:extLst>
          </c:dPt>
          <c:dLbls>
            <c:dLbl>
              <c:idx val="0"/>
              <c:layout>
                <c:manualLayout>
                  <c:x val="0.21035598705501618"/>
                  <c:y val="-0.25562372188139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22-43F1-BABD-A0BD8CB854AC}"/>
                </c:ext>
              </c:extLst>
            </c:dLbl>
            <c:dLbl>
              <c:idx val="1"/>
              <c:layout>
                <c:manualLayout>
                  <c:x val="-0.21844660194174756"/>
                  <c:y val="0.21472392638036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22-43F1-BABD-A0BD8CB854AC}"/>
                </c:ext>
              </c:extLst>
            </c:dLbl>
            <c:dLbl>
              <c:idx val="2"/>
              <c:layout>
                <c:manualLayout>
                  <c:x val="0.27508090614886732"/>
                  <c:y val="-0.173824130879345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22-43F1-BABD-A0BD8CB854AC}"/>
                </c:ext>
              </c:extLst>
            </c:dLbl>
            <c:dLbl>
              <c:idx val="3"/>
              <c:layout>
                <c:manualLayout>
                  <c:x val="-0.30744336569579289"/>
                  <c:y val="-0.10224948875255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22-43F1-BABD-A0BD8CB854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Sheet1!$Q$34:$Q$38</c:f>
              <c:strCache>
                <c:ptCount val="4"/>
                <c:pt idx="0">
                  <c:v>Female</c:v>
                </c:pt>
                <c:pt idx="1">
                  <c:v>Male</c:v>
                </c:pt>
                <c:pt idx="2">
                  <c:v>Other</c:v>
                </c:pt>
                <c:pt idx="3">
                  <c:v>Unknown</c:v>
                </c:pt>
              </c:strCache>
            </c:strRef>
          </c:cat>
          <c:val>
            <c:numRef>
              <c:f>Sheet1!$R$34:$R$38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E22-43F1-BABD-A0BD8CB854AC}"/>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a:t>
            </a:r>
            <a:r>
              <a:rPr lang="en-US" b="1" baseline="0">
                <a:solidFill>
                  <a:schemeClr val="tx1"/>
                </a:solidFill>
              </a:rPr>
              <a:t>w Long We Take To Ship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Sheet1!$A$62:$A$77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Sheet1!$B$62:$B$77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8AB-4C5B-8DE7-07C53699661F}"/>
            </c:ext>
          </c:extLst>
        </c:ser>
        <c:dLbls>
          <c:showLegendKey val="0"/>
          <c:showVal val="0"/>
          <c:showCatName val="0"/>
          <c:showSerName val="0"/>
          <c:showPercent val="0"/>
          <c:showBubbleSize val="0"/>
        </c:dLbls>
        <c:gapWidth val="10"/>
        <c:overlap val="-27"/>
        <c:axId val="472272016"/>
        <c:axId val="472273936"/>
      </c:barChart>
      <c:catAx>
        <c:axId val="47227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73936"/>
        <c:crosses val="autoZero"/>
        <c:auto val="1"/>
        <c:lblAlgn val="ctr"/>
        <c:lblOffset val="100"/>
        <c:noMultiLvlLbl val="0"/>
      </c:catAx>
      <c:valAx>
        <c:axId val="47227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72016"/>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[ecommerce_dashBoard.xlsx]pivots!PivotTable3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How</a:t>
            </a:r>
            <a:r>
              <a:rPr lang="en-IN" b="1" baseline="0">
                <a:solidFill>
                  <a:schemeClr val="tx1"/>
                </a:solidFill>
              </a:rPr>
              <a:t> Satisfied are our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01567159970477E-2"/>
          <c:y val="0.15059362346281854"/>
          <c:w val="0.80287631729419406"/>
          <c:h val="0.72821906320805685"/>
        </c:manualLayout>
      </c:layout>
      <c:barChart>
        <c:barDir val="col"/>
        <c:grouping val="clustered"/>
        <c:varyColors val="0"/>
        <c:ser>
          <c:idx val="0"/>
          <c:order val="0"/>
          <c:tx>
            <c:strRef>
              <c:f>pivots!$B$30:$B$31</c:f>
              <c:strCache>
                <c:ptCount val="1"/>
                <c:pt idx="0">
                  <c:v>1</c:v>
                </c:pt>
              </c:strCache>
            </c:strRef>
          </c:tx>
          <c:spPr>
            <a:solidFill>
              <a:schemeClr val="accent1"/>
            </a:solidFill>
            <a:ln>
              <a:noFill/>
            </a:ln>
            <a:effectLst/>
          </c:spPr>
          <c:invertIfNegative val="0"/>
          <c:cat>
            <c:strRef>
              <c:f>pivots!$A$32:$A$35</c:f>
              <c:strCache>
                <c:ptCount val="3"/>
                <c:pt idx="0">
                  <c:v>Jan</c:v>
                </c:pt>
                <c:pt idx="1">
                  <c:v>Feb</c:v>
                </c:pt>
                <c:pt idx="2">
                  <c:v>Mar</c:v>
                </c:pt>
              </c:strCache>
            </c:strRef>
          </c:cat>
          <c:val>
            <c:numRef>
              <c:f>pivots!$B$32:$B$35</c:f>
              <c:numCache>
                <c:formatCode>General</c:formatCode>
                <c:ptCount val="3"/>
                <c:pt idx="0">
                  <c:v>7</c:v>
                </c:pt>
                <c:pt idx="1">
                  <c:v>8</c:v>
                </c:pt>
                <c:pt idx="2">
                  <c:v>6</c:v>
                </c:pt>
              </c:numCache>
            </c:numRef>
          </c:val>
          <c:extLst>
            <c:ext xmlns:c16="http://schemas.microsoft.com/office/drawing/2014/chart" uri="{C3380CC4-5D6E-409C-BE32-E72D297353CC}">
              <c16:uniqueId val="{00000000-0475-4089-AA23-20C022907F8F}"/>
            </c:ext>
          </c:extLst>
        </c:ser>
        <c:ser>
          <c:idx val="1"/>
          <c:order val="1"/>
          <c:tx>
            <c:strRef>
              <c:f>pivots!$C$30:$C$31</c:f>
              <c:strCache>
                <c:ptCount val="1"/>
                <c:pt idx="0">
                  <c:v>2</c:v>
                </c:pt>
              </c:strCache>
            </c:strRef>
          </c:tx>
          <c:spPr>
            <a:solidFill>
              <a:schemeClr val="accent2"/>
            </a:solidFill>
            <a:ln>
              <a:noFill/>
            </a:ln>
            <a:effectLst/>
          </c:spPr>
          <c:invertIfNegative val="0"/>
          <c:cat>
            <c:strRef>
              <c:f>pivots!$A$32:$A$35</c:f>
              <c:strCache>
                <c:ptCount val="3"/>
                <c:pt idx="0">
                  <c:v>Jan</c:v>
                </c:pt>
                <c:pt idx="1">
                  <c:v>Feb</c:v>
                </c:pt>
                <c:pt idx="2">
                  <c:v>Mar</c:v>
                </c:pt>
              </c:strCache>
            </c:strRef>
          </c:cat>
          <c:val>
            <c:numRef>
              <c:f>pivots!$C$32:$C$35</c:f>
              <c:numCache>
                <c:formatCode>General</c:formatCode>
                <c:ptCount val="3"/>
                <c:pt idx="0">
                  <c:v>37</c:v>
                </c:pt>
                <c:pt idx="1">
                  <c:v>51</c:v>
                </c:pt>
                <c:pt idx="2">
                  <c:v>39</c:v>
                </c:pt>
              </c:numCache>
            </c:numRef>
          </c:val>
          <c:extLst>
            <c:ext xmlns:c16="http://schemas.microsoft.com/office/drawing/2014/chart" uri="{C3380CC4-5D6E-409C-BE32-E72D297353CC}">
              <c16:uniqueId val="{00000001-0475-4089-AA23-20C022907F8F}"/>
            </c:ext>
          </c:extLst>
        </c:ser>
        <c:ser>
          <c:idx val="2"/>
          <c:order val="2"/>
          <c:tx>
            <c:strRef>
              <c:f>pivots!$D$30:$D$31</c:f>
              <c:strCache>
                <c:ptCount val="1"/>
                <c:pt idx="0">
                  <c:v>3</c:v>
                </c:pt>
              </c:strCache>
            </c:strRef>
          </c:tx>
          <c:spPr>
            <a:solidFill>
              <a:schemeClr val="accent3"/>
            </a:solidFill>
            <a:ln>
              <a:noFill/>
            </a:ln>
            <a:effectLst/>
          </c:spPr>
          <c:invertIfNegative val="0"/>
          <c:cat>
            <c:strRef>
              <c:f>pivots!$A$32:$A$35</c:f>
              <c:strCache>
                <c:ptCount val="3"/>
                <c:pt idx="0">
                  <c:v>Jan</c:v>
                </c:pt>
                <c:pt idx="1">
                  <c:v>Feb</c:v>
                </c:pt>
                <c:pt idx="2">
                  <c:v>Mar</c:v>
                </c:pt>
              </c:strCache>
            </c:strRef>
          </c:cat>
          <c:val>
            <c:numRef>
              <c:f>pivots!$D$32:$D$35</c:f>
              <c:numCache>
                <c:formatCode>General</c:formatCode>
                <c:ptCount val="3"/>
                <c:pt idx="0">
                  <c:v>150</c:v>
                </c:pt>
                <c:pt idx="1">
                  <c:v>182</c:v>
                </c:pt>
                <c:pt idx="2">
                  <c:v>163</c:v>
                </c:pt>
              </c:numCache>
            </c:numRef>
          </c:val>
          <c:extLst>
            <c:ext xmlns:c16="http://schemas.microsoft.com/office/drawing/2014/chart" uri="{C3380CC4-5D6E-409C-BE32-E72D297353CC}">
              <c16:uniqueId val="{00000002-0475-4089-AA23-20C022907F8F}"/>
            </c:ext>
          </c:extLst>
        </c:ser>
        <c:ser>
          <c:idx val="3"/>
          <c:order val="3"/>
          <c:tx>
            <c:strRef>
              <c:f>pivots!$E$30:$E$31</c:f>
              <c:strCache>
                <c:ptCount val="1"/>
                <c:pt idx="0">
                  <c:v>4</c:v>
                </c:pt>
              </c:strCache>
            </c:strRef>
          </c:tx>
          <c:spPr>
            <a:solidFill>
              <a:schemeClr val="accent4"/>
            </a:solidFill>
            <a:ln>
              <a:noFill/>
            </a:ln>
            <a:effectLst/>
          </c:spPr>
          <c:invertIfNegative val="0"/>
          <c:cat>
            <c:strRef>
              <c:f>pivots!$A$32:$A$35</c:f>
              <c:strCache>
                <c:ptCount val="3"/>
                <c:pt idx="0">
                  <c:v>Jan</c:v>
                </c:pt>
                <c:pt idx="1">
                  <c:v>Feb</c:v>
                </c:pt>
                <c:pt idx="2">
                  <c:v>Mar</c:v>
                </c:pt>
              </c:strCache>
            </c:strRef>
          </c:cat>
          <c:val>
            <c:numRef>
              <c:f>pivots!$E$32:$E$35</c:f>
              <c:numCache>
                <c:formatCode>General</c:formatCode>
                <c:ptCount val="3"/>
                <c:pt idx="0">
                  <c:v>312</c:v>
                </c:pt>
                <c:pt idx="1">
                  <c:v>373</c:v>
                </c:pt>
                <c:pt idx="2">
                  <c:v>351</c:v>
                </c:pt>
              </c:numCache>
            </c:numRef>
          </c:val>
          <c:extLst>
            <c:ext xmlns:c16="http://schemas.microsoft.com/office/drawing/2014/chart" uri="{C3380CC4-5D6E-409C-BE32-E72D297353CC}">
              <c16:uniqueId val="{00000001-5815-417F-8EB1-B2768C45A785}"/>
            </c:ext>
          </c:extLst>
        </c:ser>
        <c:ser>
          <c:idx val="4"/>
          <c:order val="4"/>
          <c:tx>
            <c:strRef>
              <c:f>pivots!$F$30:$F$31</c:f>
              <c:strCache>
                <c:ptCount val="1"/>
                <c:pt idx="0">
                  <c:v>5</c:v>
                </c:pt>
              </c:strCache>
            </c:strRef>
          </c:tx>
          <c:spPr>
            <a:solidFill>
              <a:schemeClr val="accent5"/>
            </a:solidFill>
            <a:ln>
              <a:noFill/>
            </a:ln>
            <a:effectLst/>
          </c:spPr>
          <c:invertIfNegative val="0"/>
          <c:cat>
            <c:strRef>
              <c:f>pivots!$A$32:$A$35</c:f>
              <c:strCache>
                <c:ptCount val="3"/>
                <c:pt idx="0">
                  <c:v>Jan</c:v>
                </c:pt>
                <c:pt idx="1">
                  <c:v>Feb</c:v>
                </c:pt>
                <c:pt idx="2">
                  <c:v>Mar</c:v>
                </c:pt>
              </c:strCache>
            </c:strRef>
          </c:cat>
          <c:val>
            <c:numRef>
              <c:f>pivots!$F$32:$F$35</c:f>
              <c:numCache>
                <c:formatCode>General</c:formatCode>
                <c:ptCount val="3"/>
                <c:pt idx="0">
                  <c:v>224</c:v>
                </c:pt>
                <c:pt idx="1">
                  <c:v>247</c:v>
                </c:pt>
                <c:pt idx="2">
                  <c:v>250</c:v>
                </c:pt>
              </c:numCache>
            </c:numRef>
          </c:val>
          <c:extLst>
            <c:ext xmlns:c16="http://schemas.microsoft.com/office/drawing/2014/chart" uri="{C3380CC4-5D6E-409C-BE32-E72D297353CC}">
              <c16:uniqueId val="{00000003-5815-417F-8EB1-B2768C45A785}"/>
            </c:ext>
          </c:extLst>
        </c:ser>
        <c:dLbls>
          <c:showLegendKey val="0"/>
          <c:showVal val="0"/>
          <c:showCatName val="0"/>
          <c:showSerName val="0"/>
          <c:showPercent val="0"/>
          <c:showBubbleSize val="0"/>
        </c:dLbls>
        <c:gapWidth val="219"/>
        <c:overlap val="-27"/>
        <c:axId val="472285456"/>
        <c:axId val="472281136"/>
      </c:barChart>
      <c:catAx>
        <c:axId val="47228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1136"/>
        <c:crosses val="autoZero"/>
        <c:auto val="1"/>
        <c:lblAlgn val="ctr"/>
        <c:lblOffset val="100"/>
        <c:noMultiLvlLbl val="0"/>
      </c:catAx>
      <c:valAx>
        <c:axId val="47228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8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1CF277F-4587-455D-AEA9-AC09B04714F9}">
          <cx:tx>
            <cx:txData>
              <cx:f>_xlchart.v5.2</cx:f>
              <cx:v>Qty</cx:v>
            </cx:txData>
          </cx:tx>
          <cx:dataId val="0"/>
          <cx:layoutPr>
            <cx:geography cultureLanguage="en-US" cultureRegion="IN" attribution="Powered by Bing">
              <cx:geoCache provider="{E9337A44-BEBE-4D9F-B70C-5C5E7DAFC167}">
                <cx:binary>7H1pb9vI0u5fCfL50tMbm82DMweYJrVZ3u0kdr4QiuOQza25b7/+lmwnJ6LkeWVghItXuJoBApuq
dpEPu5anqrv//dj96zF+WhUfuiROy389dn9+DKoq+9cff5SPwVOyKk8S9VjoUv+oTh518of+8UM9
Pv3xvVi1KvX/IAizPx6DVVE9dR//828YzX/SZ/pxVSmdXtdPRX/zVNZxVf7NtZ2XPqy+Jyp1VVkV
6rHCf350VrH6oYtUrT5uXiN/fnzQsf7g6Dqt+o8fntJKVf1dnz39+XFjEPLxwx/jv7Wl14cYVK/q
7yBMxQm3LGYzZH78EOvUf/29gQk+gQsWxhz//HsXqwRE9lXkWY3V9+/FU1nC3Tz/O5LeUB1u/6//
4bYf17e/ftw+PPk/P35KVfX0/cNttaqeyo8fVKmfn0/RO3p9b59unx/GH5uA/effo1/A4xn95jdM
x8/yf7q0Cdv/AOltXVVPxQFAtU8wJYQAhvbzR2xjy4mJGbP5Jrb7a7Qb3ZH8HviOJI4N4dVjAZMm
rQ4zdU2L25QJ9IKytY0yTGz4jzK0/ozm8e27dHsD7+0x9sF8W+rIcHef4g8XGhzGPz+5Gdhlk1kW
weIN2NkJQYxanIAzeHEUL4b7XUrtxnt7iD3g3hY6MrT/imGOf1/981hT60QgJojg9A2syQmxCAOs
N6F+h0a7gR4PsAfMY5EjA9nREHqsMS6rQyAtTtB6QlNqvSC95bIJ+HQmTAvDld9n9Xv12o33zlH2
AH2n3JEhf7tKP5xDiHkIH26dMAHG3Kbm2xOcCAxefMt7v0Op3Zhv39cegG8LHSHaZ7UqP1x+U2V2
CMzNEyIIxzYEbj/jss3MC51wDuEaJvbmVF8/+3eq9jbyuwbaE/9dokf2FiyfivQA/tw8oRZE4yYD
fNcfmNQb0GP72Q1A9gbB/O9Wfl99duO9Ib0HyBvfPzJk/4ozlR4gLl8zKWDGOTbZbg8O2FrwMU2L
bWK7v0a70R3J74HvSOLIEAYWbdU8FavyABNYnGCbA7FiWS8TGOLujQlMwHZDPk4oGzEr71JqN87b
Q+wB9bbQkaEt1yTaAZC2T0wMMIKt3j2dgR81wY6Dlx5FZnsrtBvlTfE9EN4UODJ0z1eFynR5iIzr
OfQmlinIy1Te4YttzixBrFd+bdNqv0ez3UhvjbAH2FsyR4b3X8nquz4EJS5OKNAkiAhwvmOLDWQa
sSmyn9+D0WzeX6HdII/k94B4JHFkADs6rg8ynW1gPcHvQvz1hmcmJwgJym0Gla7fQ+v9NdqN8Eh+
D4RHEkeG8PlT8QhVOecfL1VaJxRxmwv+SnxvUWQIyBRsW9jaWe/YX6/dOI/k98B5JHFkOE/iD64u
wFwfAGpxYhGbm+SV9raBCNky2raNgQ99SaRHRvtdqu1Ge3uIPQDfFjoyzKdQzE8PATg/sSjmpolf
K9ZjwNfJszDhPzyy3vtrtBvnkfweII8kjgzhWfyUHoL5gnSKIBPbBPLizakMhQ1bYIuaoxrW3prs
BnZTfA9cNwWODNZbnerkEFmUOGHU5rYFWdLzh27Da2GTMyhzbIZd+2u0G9+R/B4AjySODOF5nXzT
8ffqn/fGDIHt5dAttD132Qm0h1EEFeoXkmQT4veotBvkrRH2gHlL5siA/gzJS/1cia7/4V5AaBwR
kCKht2rQ4IQhT8aIo1EN+h0q7cZ5PMAeMI9Fjgzlda3vVK/yWh3CG1sntgldRIS9cl9bVhsD0gT6
A+2XbHoUX79Tud2Y7xpkD9x3iR0Z9uf6u348gB3HJ8xGtmlj/mKtt0IxdALvBBDeGN6H3ymSvRXa
jfSm+B4YbwocGbpL6Ck/RGmKn0DVGJrB2GsryY4UisM1qFeMa8v7KrQb3c372QPdTYEjQ3eRZE+F
WsX//PSl5MSyiTAZeOCdoTY2T0xIoU0MPPf6MzLa79FsN9JbI+wB9pbMseGd9ofhQwQikDHD0oyf
kfVG1ozXhWibcyFGodhiT33eQPh36X3Q/f37R4bsbbA6SKsnpFPQAsKpoG/1EJATKjAS0CS26Yb3
12g3uiP5PfAdSRwZwher7DCUCAE+hIGjfTbDaCu4hqZtsV5xJUaM17767EZ3Q3oPbDe+f2TInq2i
w/SEwMIKDP0A9AXZre4fcmJjE3NhjWbuvvrsRnZDeg9kN75/ZMje1VBATg7SwAdJsSA2g6z3BV2I
nzZ8LvR2UUEwFmSUHr1Hp90Ib42wB8pbMkeG9MVTszrIohpgsTixgOd67RTYss8YmnChTWBrdeT+
Gu1GeSS/B8YjiSND+GxVlk8HoLcgwmLQhivsV3Zr2wNDlyZcZoKPUuH9NdqN8Eh+D4RHEseGsC4/
/JX6T/HTIRgPdoJMQqj4yXiMG0IgSSKMQt8XuOz1Z5QQn71PuTcQ3zHIPrDvEDsy7IGoXa+UK+rh
AFwIP7Ethhn6SWWOoSfQ7UUELLDZWuH+Lq12Y77jzvaAfIfUkSF+vvoObfeHQZsTaBCwXj32jsgM
cVgdyfBoxdT+Gu1GeiS/B8ojiaNDuDhUPcpiUJFCrw1fO6azSTG4a3tEd637ofeKIN7C93fxveD9
XeDI0H2xUHJVfFsdZBqzE6g3rkF8u8mL24IyDF26z58R/fVsut+h3m7Md9/lHtjvFjyyd+AqXj0e
ZE8acSJsQB7C7pfselfWZa1rG+QX4/17CXJ/vXajPpLfA+6RxJHhfP6UQpFZHaSZE7YfWpctLOuV
AN1y1xR69S1OqT1Kv96l1G6ct4fYA+ptoSND+1bHq4NADRkW7CMlLOuVEd2CGuJwZgsTjddD7q/R
bpxH8nuAPJI4NoTVU3EQpw2NuxwB7yleFlXs4lLgIrh1AHlHkn27t15v4Lwpvw/OmxJHhvM5NPIe
IMNaz2MTujxf+zjXhnmD+163/kE+bUPtYzMo21ef3ehuSO+B7cb3jwzZuzpeFYeoWkFjEEUYuNA3
6hrPbZ3QSIDNrbrGvhrtRnd0R3vgO5I4MoRvFGxLUKrvhwCZQvEKmZS+biyyvbMIrJ6DTQug+Ws0
gd+l1G6ct4fYA+ptoSNDG2wV7O751B/AWnPYtBW2baXorUUX+ITDmgtOx/vCvUen3VhvjbAH1Fsy
R4b0rSoj1ev6n0d6vdkjxdAo8nMDwHFTJ/DcHDadMYH+3PTL79FpN9JbI+yB9JbMkSF9WaygmvXP
40wp9HZCHiX4G7uNYNgJ0oQtCvi4iLW/RrtRHsnvgfFI4sgQfq3SQOBziEIGOGEoR0L70FtL2PHJ
OhCD3oPRMtd3qrUb612D7AH4LrEjQ/0KeooOsl+UfWJTbsFC9lfKe5xXQU8RtCHAmgw6Anx/jXZj
PZLfA+aRxJEhfAd1G9gy/5833evVkbDwAopXr0WLLYihKRCaPaGoMeo/eIdKuzEeD7AHyGORI0MZ
TNUH+QRAH4Ij4eCCge2EQvSvCsUGRwI7gjFEEKyUHXV/vk+r3VjvGGMPuHdIHSXiRboqvh+mmAFL
nGFNLBbAoTx/xnUriMygaRRBbWsUgD+/iu9R7O+A3xpnb/C3JI/wBXDVk3+IGQ8rrjAYdlh1NaZD
LVj4Dos0xE9bsI393jq9DfvmEHsivil0hGBPIQd7VOWj/vnM/4ljcCzY4gAhC4LvN2w7WfcuQCZO
d0zzXxrtE128Dff2MHtCvi34vwD2v1dx487Xx+j89Tdov/fMI7DYsHMnhzaUF5M+LloCIc4x7GiC
oZ/s+fPzb7+cowFbqv46pemlRWHHG/hyUNTW8Ue/y27c48st/v1D+d93wFG1SlUZr+pDdP9a0MON
YNsg/tZiHGjjR+v+X2vUMwbnRb1Dqzfm6/YYO+Dc+BWc4bXjLx8Z4ndPweoQ+wxBlgXLmjn0e7/R
OwZEKOzWC6H3utAFn3Gutbdeu/Ee3dcGsLsPLhtJHBnOD/W3Q/Bj684hDCvYoc78/NlaYAebLsPi
OgGljU2bvK8+u9HdkN4D243v/79A9u0D634d9ueuqtXk+ZjA386s+/urzw8HzjYcib5uBbLDyf1a
v7r4/udHaPai0AICPNavEwjXA21sJOL8dojOTwA3ZZ9g0fWfH5+PHzTXnaDUxhiOQxAwn9un10sQ
i8FbArt8wgJ4CzYf+/ghhbO2gufTDDGCk+9sWBZiwfKuteUvdf18CSI8LEyI5fmairGgU/zn7V7p
uPd1+uvZvP78Ia2TK63SqvzzI0Fwq9nL99b6msi0bOt5s1EBW5LCPtGgX/a4ullvpQGP4v/YiTXY
aWM2l3GjSOA5Ra7RadxhdpoOOgydkCef+tAn0uqMM5ES6oZm0sg25G6QGkjiKrzr/GoZie62Qd1Z
7+FQZgG3Zd2KQQ5qOLVV9blN+gsroQtTcUljT8tclJdZ153yrOZOl+QLNcStTMpStp5vS8+yu1lB
6Q8q/MppyzyVSEW9kylKJkVk5HIQbFqHoXBYjGppl8FDz71AljHrJ3bVJy4qsjvG61qy2iCOGfkO
zQbk9G0lmZ83TpF6X2IbuxXhvVOUpWuq9huvIxl6eeLC7hSPeWgpp+HqnuddKaGUuaCdcOpcWdLQ
5J77bCasbHC8lk4DURiSlsmc8MZ0Gy3mZZckbs+aQqqm+9Zr71tSdZdIB7k0o+pBIVs5CYtmUdQt
ROCnU9y1hVs0hpbCz777iJluh9P7TJuhpEFDXa+unrhHhosy6lcqM71lbSrLKUySyMDnEyMV+IaU
VuEy7QWOguPXpC47e9a20RKbefMg7Kagsoa3cKrDxhmYpSbMs/Q07ilyYrMbJiIIkPTtQcuapOV5
j0TnRklTTIVWmevFRu9U8DbLooyCiaF0MemR8iYpKtVSIR3PhN1Wt8Rshs/t0ASuRrEnozJG5z1P
rOnQRtGDLhpyqiyL3zdlktyUBc6vAk7UQuCiO8ttj7pNH+tTwvOilgZj4ZnXppk3MXR3VhdDTOSQ
IO9bJ5Qh3NY08kVK0HWkbTwJgjb7hHp48DMP6pFfjdD2fzAR15PEJkS2VV9PIiGcPiG5LMOsls1Q
wXtTqCUuyXnVD/DU20ne+mdlmj+gsrQdI68viiBt555XdVMLNZ2sqbanlhk0knXZBatINc0T5IRW
UU1ybC89j/syihWRKR2oyxs7dQcWYVdjoVwr6dFU1zTIJkTdWjTNZljx6FzbQiyj2m8+24kQCw5r
iGVgIG9miHRwSqP40RHPmCdZ6HaiV6e/Hxy6YR4eddYXyg9eD3v99eN/7nQC/z+fJPrfX67Piv3v
T7MnvU4gyvGX1sb817f+exrp2nj+Opp0ZJJfDpz9acDec/FdxpyBl33bmL9sDrFtxtdSv5lxKH1w
WDNNTODIODCjv8w4PUGwUt6GHafgjDvoIfxlxqHqjWFRnwnlUOg6hP35YcBXMw5xIGyBA+sDBHQ/
MBA332PGoYI6NuMMdoUXsECQm0Diw4rRTTMOBzUhmsV5fIViK5Qmq0uJWfu5sbg/q3LjMgtQIctB
nUcx6WTRi3ne+9lEDLh0m0486VqdQ3XnjkVp7KQ4F25P7UyW/iC1oHOYPlNeeZOkw/O2hX8TI5Kt
kbiU4ofSrByu2kDSLpiUXb4KrPC8r+onKwwmrU0nleGHssfZed6xR0iGZn5vKzCWOnIMldTzMCvm
hW0vy9CfaGJOBxJODFoEEpvNGSf6k9U2Fy0JaqcvmJoFA1nFBZpCAH0foMacWp5XO1me9LMCx75j
myKQjJenZlc1U+Fly4oYc5uGkygIb72mypyO0nbSZN11ipkvS5FNW56geQLKLSnssu8Moh1cI8Wp
NBLr0qbxd6KCbNYTM5LKj6g0eu+uiPWPOKs7F6WtIdMyPI9Yp13lk2iSNlnsBJllOlane2n1YhIZ
/WlgVqnrt/GnyiyM0yRP3Vro66AAp5AK+xQ3hi8tszq3U3KXB/WMVN216pQxqQejl33SztAgfmCj
a6VB0usuSBMJdbmHMMQ3fZkZMve05dQxTZye07shUQ9RmrttnFCpRGRJqtQZ0AXLMEc/ynLg83Do
mEtU3U+CEkwW9ug1BCJfghD093seycHXg8MzNq+5zmSWUjZJyvpJh9HCKGO39QvJVKlkX2HuIAV/
B4G37D07lToN7r0+uekK1jlaZKkcaD3zfSuSOewJKaveNt02BLmYVraLk4jNEl1fai2+mNgD3Mta
RrjLJUqyB1yrsypUZ4Wy1cLwsXBMXimXkXQA/98TJzFoJcMqm3lUX6SBfZYr01rERplKv1QXKNQP
eZiraR5HiaxV4XYsdXgLirbNEEkcN/McoytCSicz22QeYW9Z+PWiTLNPtdHMdJmeB1pPGe9sKRJV
On7Z2BPG20LyOECuQM39kKunsiGOEXazVmW9G6Z5LFOuL1EPd9VbVzpvKyeym1sRxdMKnebDRdWc
e4aa9she+F16ic30ijTePDaHS6PmNnjDZkbiClx3XTi1DgaXDEUseRjH8IIqz+FG4Mnc5vDIYdA0
MTNHcJI4Lau5m6DmRxB1kdsl1JqQbD1Vo/JbBzFcq8UPK+zqhTby0PFq257h1FwEODfdwWNJIUlP
lRQphGOG0fkTs6Oeo62gndqGoNMiI9LvgupUe1E4TRr2vTYrCMyC6LumzX0+1I+D1YYTXcaJ9Gl7
1ddh5oSKN05f8WoC5qihjlmnpFgSP66WYHtyNxSZJVWX5+A9k2phpknIp7TOuPmpQeC8ZwEr8Kxm
fQZzKU+x7KyugNCl9js8EanBOpk3sOB6Dvvs95ksqDmoCyNN+vrWRgmublu7MOiy7mq9bM00Du6L
gZHmMqqyufYr7GRhH080i9hUKdOXORpWuPBvSo82ThV1p4yl9bQwim4mDL40rU65pmBM1jF/zLUu
ZVTxXCYhu48MLpygaUKJ0cBPqYaXOUpFJOHrSPam/pp5bBWEBXErESaSDvmPyg4ahwYaSZa2RCLU
RLKois7po+68z0q3U3Y4jTLjnKXFteHVy0Tor41qfwwGddquD2WJO4jiMjN2StqdBv3CRG0ibStb
qUjfcOW1siJmMIFiryWrqr1FJLzwSvvMCPuHOCA/BoxgFN/8ETXJ5xQp1xhOSd+FLjOLiecXN1EH
pgdBrNh1bhcv48A6R1GMXLvTq9YfFgGlhdMZHXdyNaQSXsYLbkWDy03bnyDDuIYldsRtLXNwVVef
D6hf2mbnOfAUsrmVQsBfalTNKGvAtrPMtWxlTYaih7nkGXdV5A6m/4UUpQFPMvTcwIhCV0R2C38c
YkY7sud0sLEzdLFwaat8pxWdvky6rJ1Yuj3LREWkEI0vfWxdqjY9r2MrcbrMu7RTJcuknPt1teJ2
209IE932sZFPhsSPJ54NDsQM609eXZdu3aZf4MT709CIQMd6uK9zO5jCrGPwDkAQbSJiOIWGg99t
+xMY6CnK4rMoCSpJfDqnof6UN2pmKKtzGh8t8pZeNSK7sU39TYGjk7AlwAVD1ZKZMO+alHkzb8CF
Y6Ji4RsNuISq9SUx7VAGUbSwzV7Ixk+dUJB8VkJG4yhWXkaqvoJIZJqS6nOT4HkW5YHDagIvYM26
SYSSZgLHuuauHXnWzPDhqtWE2uVRM0sNA884CcSiggfqlEF8ibIylMKqTus0LWTO7VOr7D7FqUaT
XoMTBJM1NdTgz4wWL+PU5pB0Wb4sYKYtfUyuOIaA2yizXFYpShYDialsPA/LnuYehNB0wZi6Curw
s4G0P4W0JpVg5MDAme18SCCKhz2prkjRDK7ANHG57h5T7X+hZn5ZptbjwOhjx9E0K/m9jvx77Wfc
rahaeEl2jyA1o6y4bQVZ0tBwKOkjB8XBkhTtyk/iWW2RJzsaTv1aXQ/YyqVdoduUrY24YU7B1gfO
/w+7nzkU8rccys9u2u3Aey33K/CGQBnDArv1gmoEzCjsvv4r8MawecJ69znOoXEUCJZfgTeFbRUg
WodTCikcIA6j/SRPTCiPPS/+YBbwJxz+0M/cYyM7Au7o9effyRNrva4g2yBPYBdpiOHXRXXYwgE6
4jaj7iSLme5hufdFQodmmiGPQbprPVgC4lir/kIq/ikarr21887xhOQCQiv/kxcPkdNTi4Jdi9w8
7c/5Wegbj7SNPiUG5L6YFuGsL9JvvKoq2bf+IkvCOfLT1slqPTVx4YFLCbkDlb6vBkSa33AFNot6
cTsJmfKmQxDOW1XwORjq07QNlAxp8CUx9Vna2w+DUck4E4XTqnzVh9G1HdBVwfF910AQxavuvILJ
7/RBpN0sD5d13fvSTHTzBciAr6rK1DLNsDfBrcldlIWfojr+inprWLDEX3iloadcDPMhJ18hvb+w
0wJiUevWLmbRgCa5rQtphu2nOlAPkL/PW6S/lIXhn1okc+2SOUnaXOAQ8uO4v+h6dcHqwcn7IpKe
Cr7rrLr0qzQHs9Ne2KqlUiuyYHoa5pUMeu0Qcuvn54U1zaroIScQWIOKs3WoKyvcuDGLSwnBd+BE
IRGfPOZJbZblvOF2uiZyZqFnnPFEt3NdWY3jqXrS6vAGTMkZR3qA2C8wnCaO5zlsYl8YQQv8UZnJ
oECzgg+BYzb1VS/sOQoRl8hr0lmQ0qdKKXYap/D3YvDIJmRVtlV8Q0Ov3BLxs0AMri7DVcc9CCxr
66yt1GWc2RdJxlwemkzqPjxr/WCQzHLBZSayYh13Y2Q2Mg36XPqD7iCUbbCMI5bL2CpLR6kqcZSV
wcumbFNWyXBlV9bKzAxwHaqa1iVxPARpBSH9dWvx0rGwcnhOH3sS5g7Lw5sUJ6EbAHJGRj+ZupV5
EhcTWBMrznIDL2Khz7Ow+9ok3eegLL9luWhd3PaeO3CupQ7rEFI2nLhRWC2avtJuk0dfIPLOgL6z
bEcFybVXMupETTeHuExPC59CktDzVkZ6QYkCAtISPwCPpc6yS1YE04ijmYlj5CRBIrNGENnH9DYc
0q8xVssKt+d6II0cqvTUK6szlOgFSepBxihbiEZ8C0t/YQf+jDMCAbQo79pS3Wa18UlpvkCpPq0L
9qQ5X0TIvzRQ+jUt4088yuGhDu0Zo8WS1vq8bqJKZlF3HSfNrPMgp4I4Ox3aeWbrBS7Y1OzZPPeD
U58hCEB7uszidtmW6AoFLJ7WQ+F6fnXfWkAglWyYqqK6zGqIkfvBOi1scmOqbBmpZs6ivoY7TOpF
2JBLhopzP7Mu06x5LFVvAVNIbktdfvHTfOl14XkdMDfw+5sUxUhGMOmjOACfpb74kTUzfQ0prhKL
3kxnvGmBIrSqc5oCEQk0xTUL/QXj5DoxGk/6KHeCulg0NrpHXRs7AsWxa5P6pg1M4OAgcBosK5Dp
kNzXFZ1bdeNkfeWSbjCcWqTnNOZfBwHco9FOKrudxqp5SIt6Xprox1D6tVSKTIbSu1fQrgD08gDx
+Q2B1kcnFm1MgG40wfZBon5qsGSYFDxe2n59xuxo0VV1JQ1IYoMguGRNvPT8vpWh9s9bSFkmyk6/
NaoS0ijiCwPZs1zbF0UahY5ou2mSIzxRJv6scH0GPPcXGhkX2AtvhzWEVJjfMtzBbPQnlLRL7Btf
OtRcUowvUNS5Abf0pOjbFTH44KjMVzBPMjevAIsCm9O09tUsF8nXjNLz3k4qWaliHulwFqVZ65Yc
f4Zdj0/zspFBELpmaVw3imOHsDvLrydKDd/C2LodzMo/S808WyDfu8mS9NxIkSe9PJ6wwfyKMz6z
iCcZbc15WHE2aYuOzKOOwVz2n6K+CqUF4diyt/ozDC0CU4wzcwrJ+czKzQJ4ySBzSCcgbfXRvEzq
+7JVt3k6nPW1f+cV5Tw1Bl92rfictmoG93zn9/GXKg+aRceuoihyQ9Q4JOSQwyfdzGT6sq38O4WG
0hW8mRvxMKsGsShKfj3EeF74NjwafGnkRSqDpr9uanIbxVpA2An0hCjaSDa4vc4oPy9j8PeTuDRI
PKnbXH02E1WB8efWkqSekomIm2mQc5nkA2SJooHZOUCqb/WSF3BLfZ/Ni66fWX5qX4nEFDKpmnQy
GCqXpMmV9Bvgbxs4hqSBaJ7xNIRwfTBlAN1zbkZiSFp8x9TV3AsMBakNZN26sZvTMO4SmRv9j7Qo
FybMYhn1aeTQsMCSq05MzDj+0mifuKjnhWsFAij9oLQMyAN54hSJf9biKrtMc1zdh9iCGNgcCmNa
i9a8Ltt0OI3FkFHZxkwo2SQMT7J2iN0BG2ctLU6bTF0REU1ZF04sMnxOcu/Gz4tlnRPgjGjqkFjU
E8if773WDB3LbycFhnpKE3WQKnvRhFbVtyasHRyJB+bR86btwckoN6mbaeWZUtHyLkOod4UVrMCy
fka0mHttcInM7skL6TIZ4DHZgZrAi6SBjab32WAuLZWceyqmDrcSN4yjqZElp00NLrroa+HywrsM
kenGkHdWsP5IWsmwyHx+ZnZqjotB+lG2SOxWmhpFrrKgTsNDem23yW0FZFqj+95N0vQujdsUGJ5o
iVS7QMg4txl2IBSakS5fVJ49M6Jg4Vv50s+qL5xRSDzwaUHB01IxjUT26IXDJIz8686DSKE3s8ng
BRNY5uiYefWUAFtkpKlTwkvXdfWytuNHaNgAbtBOFxqpmwI4SahQODYLe0kTPg86dFuuC1EVZEhO
30H2YvmQoLZTr/Fd2wuRrO1yWoV4ntTkvhHMiUPcTU1DO9SCKooH76NK4xyse3Qf09rxMVANbUEm
dlRDgcGPF0YWfrZtb0bFcIUaEkBKie/6Fk9pmH3RmCOXJkRJo1HfvUI3The29aQK6EVrogvPp187
VPGJCrN1kWcWAm1mQ9lp6vvesomGp6w3L6oMwx23cQVEK7wsvm5NyJStFmKpDE+8notLjfVpyuqJ
jgUU/Sp0HTPjLK66wTF8Oi2hKiE9M8BQEULJPOj5g9mG/a0NlsaN4u6s60TtGq3+0pnDdWbwB0JC
b5qp/B6420YiXk+jsgHWuYS7Fh6e22vTkwtfNtoO5n4Rh46ZReeZl0wj3wBGDLiiDPu5S3jZuXmR
/GhwV0KICGwqg5/6qHdxk9/6qstm8ZAsWosA/1zVZ0Ox9tomu+8wTLQQCd8tOjuWec8ucKQuojZy
WMiChRUM5VnmFRxYKPoFiCn/tC28a7uMH5ACKnQ93TltAmmn4M2joqEPIqhu04xd47ZTZzZNITXN
Fn6G7ogPEY02kVQtcJ9IuyiJznIfQaLJCumbyQ+ggGOw5WTiU3EXVfpUVeEyajjEmW03KUl13+P8
xu6AE0kz6yLE/kVihdPYYv0y7cLPeWw/sI7ewJ77emnSMJ3UPtdTUrGHIbEXdokNJ0QqnaUNDGzk
eKqxqtwsZc0cGEQigeAE7+izBNHbDocE0oiiMP4ve1+2JCeurvsq5wW0gkkMlwcSMrOGzKzB5eGG
KE8IgRAgARJPvz/s1d3lai87el+es/qiozvsKjEI6f+/SUEetzbweNb4Ick9ty5X/r31BRH08xYK
rdiLBireTGIgnaFQwx4Pg4nzqoHyascxntfVZ973adfdqtWkSfDwgs35SZ8GbuYng2xydtDwkGRs
XdwLirspzegTpWoAsEfS3ToE4EPwqJfHXw+DTvTvw0Q4mmI7aztCkMSPw5TwraMLcFC4e18X+Yb4
39m5//isfvL7tzRuSMEcNJsQBfz4+1ViQylD0Z67BRPtEJfP//j6ozjYHD54UBCIbhTTi8dURV25
AkER5xh9B73Q5ObXvx882C+fz6vrD8LGZQRL6TkQeyKyxi3GaBfUqfnS8t0/HgoiiRB0XACZDd2y
E1/eShtXzrqssjk7/ADAXDtpD/Q5yLANkz799VjbZf+FAXybwj+8lm2Kv3hsjlsLsGxte+79LIGI
AH2X3mFNtXPx64F+8vx+GOjVTXURT+QUfx/Ir3cdSw0rsI9sW3H/m7n2k+8SPk5oUGLsjpsQ5ceb
8mnnSWy83Vn5Rdk+zyan5adf387PpvOLIV5Pt1VR1ErU6c5d/MzL9wH5X0xnWFEDnDyBBHv6Dbt5
8V740IKIAEd25lgB/Sht7f9i8Yqh0kP+k4/PJvReca4d6VDfh648r9HzEp2mrk8d/Zu162cvHZM4
ojguhYKXey3PYaLvbLyK84jCz2bxAE70DpIS2e9W/zcz+SdjxQ5uA9kKYJKBP/340lkZA2TjtDuz
rafOa5kxmwP/lKix7r+9/H/LuS7fv4/vQqSXioCXAoH/N5UGHl7Qf1Ya/JnP9RPMEz/4J+bp/Qv5
7D60BAH67Xh76X9insgKRoCNm0Bb6AQ4n+FPzBOKAsiEHXi6/O3A4cDH6/0D9sQxxNuCDh2Z+88g
Txq+miSbMA4CAyRlxSBqsEa8miRRq6tYeBU5u6TNJl27mROsX9AlQO1C2xC6GAcAJS9Gu2HpKJbG
+2QUYHuimfjoU2QX3VcV1C1p4lp/Nyl3fFvGaN4+URLrNGSl2PCoYA88T6bKi9d9pRb8V5AEe3gf
xtSMS7w3ujYg8ElSjK73DuWL86kaWpENnukLySLw0hOw07maAftJ/F0/GkDPNd74oe+5C/IFtNDK
Znq1dNEV51BFocdCWydQDU1kP3nTR2FAkMwDdAgt6PgUTGUeE3sLDV6SiojmLAnmU9w5aypGKBcS
2K/2o7UstR2qy7ExGtqJKvVt0uTAadbUK0d0Hf6yA6uvLlx1ftpZ3b6fY2ofXPctqBowT6Q51UCO
drBp3nHAWKnvuZBhccjClvoMShnIzwKEFaBsoFudxjMFpRUbdNzRUl91EaEp9WtzbKxyckUHH+xh
OS5pbByJZwbEDK+FnIOhtimF1o5r6WcaAOUQKJo2szR3a8yjfaeC5s7Mzln2jB2SBm1xSRz8ULOu
dUHIrivRynQtFHN8kYexZG26elGXoIMK4p2KI3QGnDF06QnEWw8Uw+5nznsnx8Tujt04z3uhZH1V
hiS+rYNFmVQn5W0T4oe7W3eYyjt3YuAjKdrzLnyuRkHTRbVejuC+942rq7zU/VcnESKDyOSmLYEJ
xhxtrdNsq5f4yla6G/xKn63A8imiIMqCMW6ypGsq9E3hcZyH6MqjvZvNaFoYt3hNQuwDhn8lY5y5
hk5xGtjFS9J66hdcgPYmwBDjvHjB7Qw09QpYfuZKv/UvlKoGT9uxlaNSQ/3MU0216znaq3FInN2E
iXae5RIW40CH6zCQckek3MsRPC+P12nvs/ZDO0c77Rg3s8SoqwWsfdrOlVvQoIxPDdogIpLPHlE3
IRd3cgITSfxb1UfelHqkP1lS26MXjhzd3HogdGmBgND20eFlmcfxF03Mdd1G13UQ3Vgmkxw6nf1g
bB4C38Y9n2Pb3VAhPqwzuaZufSNYXGX1RMvbLgb7LMLeB8NfPTBrquPA2uPI50Mz4CXFLLrql5qn
hEdl6jXxczUt+ALD+mxmOaemS8aU6FlkcTJkbtgeE03zGIlwYozTRTYuZCJfQ8guJy2KcQWK3wyZ
MytZVJ4DFH7ZsZ4fozm4ThaTAU+xKdOUpYtp38Stc/aC6U04OzEmaSLDc4n+46qM16/94N7TdTpG
QCR8IXKwHH7mMHNNSZPxeX5mob8PxzlXVdWnHPSiarr7WHqfkwbfsGiB4Sf2PgCfvRNDf2uHtSBN
AJ2Inwk+AQV0dVqJOZtX4L1tKT6t1j4u23x0G34cJ3YBQn8WIP4jwKylkYdIgKyoMHxLnTvRmZMd
bOat9tiV6JcBZLGV7NepOQAwzKD4O6DbLQh1DFai+lMYT1lL+gOZkqxhUW57CVTYiSHElHtXo+Hl
U3XxdLur5+pgnHgnJLmZZ1vYtsZxndjiG4OeWXzF4ZpZObo7HCeSlbr9MrZfZDndGx1hRjoHCx4D
9Pg7OkQ7BSUj0j8g1x6zoPTOOJzgQemwCCB5pZW5D0zy2PLV2yUtWBa5OHsRjFlSosUWJUlp5BRx
ggZ9qE9Y4Qo7gAxhgIhi6GkqxY6+aw9mHd85rr5aafwQhv27mKn7CojhJD53tv8yOA7LoE8G4lUX
ddgXqrS7pgpy5tis8tkddGO3cvbvvVJAJwWafXRSZ4lSIFsHksyHWIGDZ+0DBxumqftmxJVGZQJ9
LyChkszXypkKfIonlcSF66srvwQkbYa8AtyfmU7t5FB2KU4Z/rRM8h1+VVAYkHZWBX2GL2kA8rdk
tlueVaeyLibXrZbHlUS5tMDLZxRyjGCTYH05ZAmzTTqFEXRe81sxdR/0UKa2j46gNvOeBZDa6PHQ
xfToGCHTlUKew+d3y+i8lSO/l6Dmy8AUdTnh2SV51elDpClmZ7QHtnLXyfa6X7tsJtNDW0eH2JTn
0l+PXQCErnQhZqrjtJvqQrT20pfOER9Y2i/xHR+TG9817/uw3dnRmTIvAXc1hndqVOdO0fvJVE4a
u+pholA797JLx3VKO9retLQCkDk4wDGr23FbqFb5zjYa/Drd9z3Dl71k3F8ytWxFT3dd9t2bsbdX
rieviRewMykh7a1s3T4oBd3Y6ukr9NXpuizZrAEvEv4Zauc3XIvo6IEpA5em3wcUmzroVLAAeVO7
n0MBRZ4e3jUjOyJN7Iz1Frjl2OzdRV1DDoTvso2abHXc94yqvkj85lGMGliQgSTbdy+8iSEYhAay
k5B3e3F0KJswWzwCgmGV2azGDWKtMtd6gLl4Tll3MVUI/tBcmc5+7kmfE3B6eqRpj/0PX4BqUz5H
+TRV+chIlxFUCI2eMtFikzBJd5hJ/HmGoFHV0EjOUQElXd7JHuuP4gY6q7Uworu2uroeNX2UtN50
QT2QM6CQNcSUbCFXnRdgrrf4TlcwEhLyN327kuW9GvtPUzzmFYeguWzN7RygNRYOtr8XJe2/S/uX
tPir3vFbhei7XogQZLgTcPDuj22EXsZxxGnA5Aw0sOZNKpt7wprf9Cqvuu5/DxJuLSpafH87Ye5l
110T4YTol8jZxB/HZb9M7438Wvk7AUzu17fzs4LXx+ngf4z0CraQJRj+tcRIXnxigU37yM3X9SjD
Jz59qGWY/Xq4nz49fE3bocbbEU2vbsyL0eOXrawuM/mgp+uh+tS1n349xM/uCNUyimUM48NA+uOz
A5FinMT27DIHGV/2k7V5C4mAqPb1ylNPn3493E/uCI0rmha4VQIPdvMfh5u7UHnW0fUFnhNwDAOQ
7X3f/OaeXqEJ23z4YZDtz190+6okmoYlBgFwmerxhifsN5jS725j+/MXI8x61fMIn9Jl7G/Dpc8a
+VhG9W8G2XCVF2DS327j1avpG9v0s1D1xRA/ZTRL6gu0tVjg3lMw8+rsQXH2z98OMAwHyS9hAg+q
9+NtNTV0rB1360s03A1OlfXtMSq//vMxAO6GcLthHsC99OMYJfUhgpxHfukUy0W4AzWZQQL960F+
9uigBUq2c2Uh0U5eDSIXFkV1bTjez/sOkgp0inwD6MsHPl0H8wBf0d2vR9zm1OuX9XLEVy+LJShm
e9fyi2NIOqu3PgqoX4/gbhf91xCbnwA+I3jEtuPcQnyvrxYfJQPWMOOKC78Zj/qIzfNWZjSnd+ye
Zl1eF3FGil+P+eOQW/gxnuCL5/hqSDY7wuh+5pc5VGiT69SDttCTh1+P8vNnF+CRYOfcTvv9cUqE
qxtGWjj8Ug5J5rnXcax/8+y2p//Xo/t+H9vZlfGWcgMh2KuJ3Suvdq0i/BKh9bWxh2rzQw2xf8X5
b+7lZ0/s5UivFjh0xHKEMYNfXPqFxXe0fBjW3yxvPx8CgrWNvgBN8mqq1W4D/nCtmkvXnSloMlN7
qTeFv9nqfvYJYbL9OcqrVw8ai2lbYZS6+dSSQ+mTfFOyNFPW6Atp9i39zTv62215ToAwV9AZ2IqA
1b4qFbykjHoRyfai5/0wfljCfFjv/+FEezUEsLSXy3Y3V3igDMaYBSJkl1Q7y+lvHtvf5vK3Ib6d
g4uC52/ECTdGkBad1kW1n8h6hNrmNwP8bSpjADAzFN8JgDePbhv6i60HS2e0uBDaXFDniYlmjB/B
6aZd8uXbs/ovKrtxZf8Zlc3b/7OT4/PnP4NYXjh58YN/oLJI04BlO0FUA87be+XkhdELsSqgMD3o
5d3tLOs/nLwJzGGAS0FyIlPrNSoL8XeABcoF7A5nUfhPxKiYDj8seHDyIsYHHCM2DR97Bn7vj7Nk
qEpDiTursxPIp6WzbjH7w45AWAvIQY0XspbVoROhfEeDXsMlBemBjgg0ZGI1UHPM3dVaQWzWrBBs
Qsr6tlFNtBt5DNct1tliDdB8iXqtUwo4MdPBJPOhTOZsUGq54Xx9mHQHd6+JGVy90ZtEdceKsa4I
N6tKROUVFu3qMPrREeDt23IJ0Q3z/mGUDModUicH10G1G8yPxneuiZhOEgANqkUIw52Ru4WlLvxH
C7QH0CTZwV0zucLIZNv3pfaudNira7ZMDw5kPUU1hNgsl9BJQ0M/hnAMH7Q2UOIZaotEmi+hDL/A
R8d3iiXTTg3zbWL8d6C9uivo8GSKNI5nb2Z3TC7yiMv8lHTi3EA7FftzhE4LXOyT4bbKocHdwygk
97QPn1vIVivZ3gloh9Ctiy9h6+YGkhZXtv0+IOwzdqP7JWyqA+y/UCbNFO3qsq47XpMwn4g5Az2A
harynuoyvp390ktRVEu4FGIJ9h9gGu+wEs/L0Q/1B+EC3Bt8rfYT/NTrGizXsWOf4pYv8cUoeFh7
6DRE2sYBOnpG+q/rxGgKRTLPFZ+CTJqoToO1NXtRoycearBl/WABozTeG7dGW9DbwTl4cNRh+/Hf
rw6QFBhJkulxCtvqpHXXX62OGJMcDoxDT2W+cOfelZKmfhfztKst3DBO/VQvtE9LBjDVJ5rv/Apg
SB/2ZgepFdR8RF4q4JNpqKq9FzqPEYGPfOHj52kyB6cNr4KpwyOGr7vk5m1P68+RL25KggZzswxB
N6NFGpHpORDKZjzw30M/9gGyVZq6VbS3SSBhS+cHz6kehkjCQzMBwfOgNh3WuICQa2d4tAOYfROW
0a07EZierH0Qa/fV2XRq8xSHgIgsVI5NRdOZ8E9uSN4haK+wzNy3TN/YmTxSwj7otv3CxiZJh4lc
D2Y8OX75xnT82i4Cb6v0nioBuRYby8fSRNea4wn1XhUUfh8tWQP6HT38+zJa3iBFF8LVCgIYQwCc
RrXzETzI/TLyU9WPhVcmFXwY83lxg3vf4l5EWd+Nyj2GcZjBq3pV9QvgpeW6JxSIin6KgyqrOnqa
A3pm9XrwR2hoHQiRGmXfAeiO9xCii7SpEy/DMten1UBgprHSpKWZYYavx3ejEld+Mt82vndkzvo0
dQyeE+jWs8Ffjv2ITgUTFpQ7ae9V7X/sfZEcoqYd0zWMAXRxP2+hzgRyL1WOyAFRyARq8QBCJg6d
+7GL4M9UbhF7MDluKy5WKVfmTTBf5OTMqTdop5iACFYOvF2uMxwcPAKsSXe+DW/5lHyioYu5FYVv
vDC49aFjzvzJuumMnncntyVuhIEObpsHL+mgomGob3slUjXIKxyL3R4ELGluqycAujqEGs28ndbq
wXWCj5FoYd/04ttmZiWMjIQUXLX3buTDB1MBvbZe9NGDiC13uxa0Qdjn1icgiGqgMlhJCzhxvo56
RVMyQExTj+5jV89dOrlR/aln5BTKeYZZDmtEXb9d2HweIYGChvHraiR0tB18W6x3sgYYtJvVipIk
ddUq3oqKRNXt6lUQZIazzFHmXdN4fEwsMhFGEcEwv8oPcq2TvA9mP9XN+q6cE5NGs4LNgAzZOo3o
NdsTq9yzT8sPRk1f3WkC/dSNV+3q5QBZIcjU9G5q1tspIUBMnRG6ezXkMWReDgGHNk6dk9KlhNhp
nR594xzqEnESkj/xGXReAwszrmZ9l8DIpgb7JCg0nwu/YD7gIZjpjWjc00rhKtNV3aaz00ElNU+p
SSCu8u3JDdWVY/h14Jg3HRiZMqCXsFK7Pgk6aKHxVQcMAvk2NFD4BdjkQhTKNdc86xxPp1hjdyDQ
DnCXHUauV2gRFZadEKKw0AcZ5pZBGrpluw9BMqxr7BxJsxw7HrLdWEuIna32jmPd1AC4OQRxft/B
PDXW6TKDU6xMXUCYyb9Xf/+tyhyU+/+5Kvu/kJ52KGC/J5O9KMnwUy9KMuBkPvKUtnOwv/nr/yTK
QYejVMY/wIUS9E1/lWQxsozxD4hsOPNxjJ/3kijHeoJToFDJJdCPBu4/KckgmvpbSYb8lgQXiDNJ
NugLI70s3CvU7Zz7cXsm7vC+qvWSrlP70bX02LqiSzkk5Gqc8ojCSQm4d/Wrm8QOpyUWVVouCEUR
9QCncgUHYTR5BeQyhSP9h6WevTyO5ATLoL1xdLkLCazZtauf6tjrs9ZtbxgFuTKT8dA26lmEpsIa
E3wuPZiWeyKwC1BzbeL5czO5QxY3UP06vp+HdsZ+abs1dybS7kC3mp0XTzqLpmTKAnBBmZadLTpp
L54F9A8e/XoC0ZlauBl8o81OAfuWTniFTha6eAPgu5pVA3TRTynbOIIoucCY+XYuIfPkMSBsxsgC
x4rG/4a8ztYKnmIhqhK0zBHUbWEjCevfAG7cW8zTyqpbHXXXPXz9DPcEa0w9pjAFYslssKpXIm86
77Z0vcfStrqYEZmdhok/p1rN+NAbgnU58A/Ct3VWxv3bGE78LARlO0H2DX149QD2rP/gDMuT3Qoq
vSXVbCVWuxVbHH2qqeZjjSpMbOVYMFGZBotFXspWrEFFc8tQvfmDglu7Xs4EsFjeNBMs23SFQHgr
+6oxIXsip3sfFSFFHM5+2WrEqWmuZfiszXOf2CJAPamsL/cTvEXtBEPCCPpZPiUu6x5ap+2bL3W1
fl4Mu199R+fR1MsoBd8Rx8+jCzcv5vfRgcPyYLQnz95YJpDelerKJmUWJJCKw/Nz0CPcwrDx1hkL
Envy+YqCsJYIGmhp9Hbplh303ezWN/LLsM7eAYbMBMruMIYX6b/d5zcbpIvP/j+vc8fO/qTx3H7m
z1WOIiEQnSeaum9pIehJ/1jlcDJ4lED240OaBRFtAmjij8Yz+leAQxg8nK+CtS6Bm/yvVW5zQSLM
HZACMkg2vOcfrXLhhtL8hbThyA4HmqPtGnB8mu9T/xVsBMUC1NhzpE+iCVkhZQvXhBRBvN5Zb15n
LEwJK9cwD4AtMmyYc7PkFBS1iw3UA1GKdaX22+shrgd7RuMCNRxMcAsFceaacJhSQVvm792oE62L
b7et1R0jJfxQO1ImsvuwjuEUXKJpSsZuFzk91AGGUqhJMhepBuo5WvW4riiMykg5mTHjDLrXndm4
56pPbtngwDlgxjAdliV4M0iA+zGqj2GSDU2DhoudOyzzNXA+CyKw7k5R20z3btgsH52O0h79Ias+
zsFoihYa+Bsk+cgc1tDyxAkNCvQK7IDkLQHT/+LbO/hxyqOa5HLbdNECq+Osd2PZf5VLrCDq9Lzx
Oa6xTrc68KaMlRR1NuX60VsGAc1CRz/Fa5vsZ9YuNxVWzRJl3b4lAQTgqwMxv1/BqzY5iPUAQWtS
qjVBs+jY04g2umgmrrC2uBBcK4X+MQWc/hGvSR+G0kHx4vbIxEoS5n3w1369sHXlXdp4k/exgTwI
bhP452zD1TufKqgBICe8dH1S7dZYTOdpaj7hkXZHRFG4Dy54zBbKcye+DZY6Af8v2ckKkJ2VpfWJ
1krtkwSGQr4m8QnBGfSARBSeJVaMGfMr+wlJG+0N6kn1NCEXpFAJh0WD1N4thN7tCrWYagosZ2gD
zBDeuY0kRT1QdfFrv9/pyZHX4D5A6avmCjkka25jEhcDtebrErD2EPeiujKyDnBtPCK3dQlvFnI9
WplJi2gNrafwZrBxt++ryd0HaNSh6hm1gc4pKa/akYRPqITfAqjwbjwS92dcfglhiAhulfSCQo+j
c7YrM6DEF36s6g7VPdrf20D19p6NsEvOahlyW08mr+a1LBTQlGr3/+PK+rIURP4dCrr/vKi+jKf9
q4D8/lN/LqtIRPehrd0kr8hooviFfyyrHk54RuweGCvI+CEiBmj872U1wDmgkMeCi/leVm5Q3x8q
S+9fOLcs3njVGK70Tbb5D8zl7gZMv1xVoVoHqoZGHQFR0BdvB6m8rB316st+APhx6hY/yWdIifpU
+hyahQZxSHchofaKm7lrcsdBnJyWwfwGX6hBqFnSDW9fPL3L92Ffcvrutoa/uhrEFHqQncB9AFb6
FYweQHrTJGyaTx7iVk4VMMIynSIJkM2gsUvSGUEz7yMIMiGME7EesoGPUNiVq4oCaL2i7nOitXPG
72DTzmtb980Kvae7tyEtv7iWwBj16yv2fkTlAYcizDCEETkBFQg3hveKWwhqGPDCxOqTb2hV7UKz
tm9mHPHqFzqyQKdmWLY4/GZlDCNraJFf1Dj+HkF31kUIn9SfmVEKPTbp6U7pGuI1LRjgh2hElGBe
Sc4uzZRcCZUwhU3HSZ4UG66bdqEmrxUJb+uRzWL/67v6+2uAqsJBSxGBpAEIvd30CyYgsqRaSN+q
UwfH25OsoPfFBuVhavTdZC6LGZOHvnTbd78e9jW0HLk4Axm1B1oZSMC91zs8NGdV0KuqO3UIDINT
ik2nDvqXOi7Z069Het0xbSOBE3QAmYfoELa4zJc3CEuSXaG4lae4d4LnYZFjuy91bL206VnuDFO7
Zj6ClCQkRIho+t2keV3K4C4RkUm9YJNFYHV4NTxoxBpJjKI+RUNDnyHso89wqeIaYLlXeThKmVoH
r36/tAMUm0Mjoy+6TdRxSWxwY0J/dDJ/4Qg246hW3vhjj8BMBiDxS0/mfueQVUQZTWQwHhAOh27o
10/vb3zx9pa2ZcMPEw/MWrAxfC/mB7x0FAVJSQBgluIZpnKFRC/S6C6ADNl2cLGxuvlYxUl/Y9YB
znAZmA2um6OvOgJChNCHCgpZZEN+qQHUf4a8FYrOX18k9DmvFhMwKD4m0XbODHS69LXRIBzj2hmZ
9m85vNNlEu8QeLRC0m38pNDzNGWjGZy7WViK9EPGkHDpdnvljXDzBb2XNe0g7vuWCqBX7VK9XTg8
/lYBRe7hmH4TqibelUNXIiiLczQz2udLWkJufVp6os4DWf28qlzQ2qBEOpEB5hcHRIm19x6vLpXt
fEgsp2g46XJ41B5SxXbhDI+tW1sPawPMwisUhTG/gS45fl86U3DFgADcrJWZk2yBwV9kWFuRURaP
VqQL/BsIRaBkt3LzqVeDfpgcAvR7EToqSjVMR2gpt7g3d2n2JYDvOl1ZU35E0T3OsIgO5MMk4K3t
wWkfG9n1R3dI2s/1DPg8BbraPNQJgGRI1YPqCtQMYvLwHPZgrJLzsAiTB8s4FK5r3DlHU+dW2bxU
8ZDBUIokP+WPu6lPzqwklbNz3W/G595bgJjxMI111L4zwtnicZL+gfqa7qeEE69QoVif4xD5nwqI
3FrM0MkWxBjn2VPt8lVVfU837Z6Dlr/y5qowGqEi/rIsua2AphcjMkp3cFeLQ4e/mmI5H5E4NMNN
lXLFkcwTlZBtRhKhpCmE7mXma0QEIGWjyatgss7d4rvBrlajg64cM0kXvl4StTd+ZG5gCV/b8g7+
cS0QqlC3ths/s5J53vpeLcREAtKQEUu5/ORZwTXw20lPU++cdKMFEr6Selj3czLp8ijGuoYm2Gvl
gxMR/8itD7fuhHcArebgAERdGdI6IYcvsR/qtkFBh96gcrKx1W55Rn8BB/2hsdHCdta0Cby2SvuY
UUspXbVkcJ+TAgluvDzP+HTCKhviHqpjFyltoujaekzSdsDmVeYA4cMMXQ8MIojYczowOKqE+h0k
1lIWSxu1IldIHWkK2lVizeKVYsXsvCaAzJCNBJiqspW6KCjoRC6rOv5KphnEws6Rnt7XQTzFJ0rK
qrzq/EhHMJJ3Rg2rPSCnBNLavK9YJPJSzesArbjqEFrXhsIeHDQTiMXyoC7OIpBs7X6sh5oAgQ28
t3CEry6yIsMGYU2NcMgZRBkAZBCG3VsuRCKO/pjoFgGNOrxfkSfhFxwRuy4IPTjouzRiHtP7cpz7
DoLj2r/i1eo1xdTjCnKp2wrhb65BPBXE//1yK2KLqU3wqSBmw3Un+MApbXdV6VcT1EczXmcdQZmP
9Arur1/axk/CXYwLQKClFWw4uk4dHCrg+MjYaZrB39WyRqjJVKIhJMvYJxdeLjzI/HrgQPd7vpJr
p4QS2O1LsEMRA/iVu5at8shqdwHHlwQM0lr8vdRNEFCB6VP5Q2aWGuyANjX5MAInsARZwU3sndy1
24jWeA6I/2jbxZtOITAhueuSQd8iLg9bUqWiBj+QCPT/BaJx3O796rYdu4KouzWFWqByvYZFQj8G
3KPPyFYTJSS7mLzF1JnIz1WIdGYIClw0uK0/NAr5GGVeu/Xwvl0WVBa84vODouHysR+Zf5ijpYKB
oAGrjbDKEr+HAtk3BXwcAO1N7wd3CorqR1cT/I0lJCrOtGsjGHU8wWuEMnge0PSoUt65JlGCWLlh
m5ycD2oftYqpi7GBjjNAb3g3bOlwYRLBju41drDkCSAIZjda1mZEZ4ucuaNWSelB8gfg7N5DRmGA
dApY4G+10VvxCX/ChSKAz+RyERhaynWFB8ETet07TbTd/HbpC9YnXFcv3FNAEW95Nw0UjwrxR82a
Jc2MT6dvq6a+68YIn/w4oSqo8GdYUz3dsfPgBghrSn1krOJ1I4ljuhWE9SqtnWkwhcHptz7soAOa
efy/GkASuVhATOJudbLuxFPp+clVPNeABmNG4Xgwtgqfl87HZZiR23tfG0ddVyhzOYJwEGXyEGO3
2KvOcU9DUg3vIT5A4CALWO1dwXSUTNclk9UM8XY0AHWOrL/vPTzWzIkG+6lpG3oxk3LkYXDs3LxF
+mmlDtDoQ5y/JtsaUg8tg8Ee0Vd57Vmmij4UyVtEEYtCLD0QhijY+tZxYfe11Oo6EQ2HCcAbvQrL
Hg2wHTEveRo5mau89Tp8Jis4wuQYdNIdvkBw/j/snVlv3Ma6tX8RA87D5WGzZ82SZUs3hGRLnFkk
i/Ov/55Stn3sZGcDAc53sYEgV4kjW3J3s95611rPqpeTb/CW2k7qib3NHY2/0ZlNxJZDZmrPRjeY
7obsQD9y0lqjzujd5s9dMAYP2sKYflqDvjO+9WycZVgZhsdWdjL5rebKSNeNPSUu5CxelmmjFYG7
W9HW+st58TD/j1hpfE8e7GoencM6ubw4hY6Utm8AVYjL2p3tC63HSrFN27oazxBm8K77jqzSByYR
+U0HE9iEPDrlGBapnHBpTiMIvTpe2vsyaY3siyFWywdFxAS2fGp6S0Mkb2XcbVNPK5KTFjfTa5ro
2riB1+QWxyzQjdtZavG679izZBjNB96kmdJMb+aiXJ0rsjfsJdpm1N1L20ixxy9MN3I7pQ2v2uTX
GZy91at4dkhZbo3ZmrtoLE2/268+C9wQQm3iRUu86HITN9JtP0/OYjzkacd7jZMueOS9jipWB7XB
A9ZsIE36VepO4Tw8IQVMvhEWxeh9csy6naLJSXr70o5Lf7xr4UdCA4fOVW3htPNqcnFY5ovM6gtx
4XVNat2YM1q+ir8E/FwzpJXLotMA41Qy5pnBNDb0lyXxGa6RQZHsSIcUaTTNun5cWpvP/QJJH8NC
DG3yYyr9v1bZLrOvnZDivf8j/PqXaOv+v46QrdDU/3Gd8jK+dS/y5x3Mv3oS+MLvGxVKQHVVa4KZ
yVKOJm5PPzYq9IMGjmNA6cO0oFbO3zcqlv8bRG3gflxZuHH9IsdRFqzCpuRWudAYf9MhxS7mD/cO
ggKBqh7GxMXsG3h/uN3ViT+O5eiLa10vk0OTxPs0QQ3qrOmMyrxspsGUF/Ngir2lr9Y+mIebOre5
cNbVa2ebIpKaPJRL6mwDqyNtNLlAROy03UDdWsNcm0zwKL4Weq0LPJrc3k2bBJ9TKD+bkS6Dzayv
Z87Ni86xD74AfYxbZN8uDQHYRGzW1r9cuwUhRxTjYSj7U1LlODNs57T6eHMS27vEZfYpcZqBuIcP
IscrorrLbnu9e6EpqubxlDyOsH/DiWssgxsAu2JcL93a+zzHnO/wMb4EpfjszuM5KIyLySsfNKe6
7H0M7TzKP9Ud0r1mMJLH09lb7bsaOhIMrCczmzdJm+x68iJols1F44kvJuRDK61AjzrzfpwdKK+u
/dKXvgzruYSy4fXbDCge21nYYVY3u8ys7UIGsR62I1k0bmUk26eZeQIYqkixgMzTcDWVSP7JOhl7
ihJ2udvezcUIBKYwyMyY640Vu1/NvnkohmXH8whobkL2xnZx4lTHjOOd+gh54w7ep7SNEwwPyxdX
EaqVBSnyDJvIXZ2JnYU1KapNb486cNvNtQeuqTzNBu6dteJ46M1PbtoZHGcmgGURXOejZ16VsXeY
fUxEV3Bi3AHxbPLP7kJVBvLILvNG1MCWR3e/5tvewtjaDf6X1AWtPbQqRSyyPdovK/VKfC08V0R5
jwIHH3JX+jyY9WS79Mshw6GFCJq/dp31Ri/v2yTwziWtfaUOtXlsExYRY7XF/WY/Wk7B/I7HGcU0
o7qkPVWOeywdg0kx3XV+UuwMLhHbZZ5NIofusvc/tMLaGfrtNGq3WTN9C9ZiUlxZkHt61+7X1iYX
17cnW2vNTWs3h8DFASHMGE8X6fAIsepgakm9F938wngL/Atak6y2eq9vUGG5XRvBZyDQ1iZt+/G+
tY0WNFsCbtYb4NbyCN8Y62Bs+7Kh38Ip7wK4Sa4ZWzDK0yPU2It4lEZYFV0elUnO58KjxAE6MPij
VphouiBetdIqgY6vw3kBhx5r6VcrmezbPq7u/A7AslrJkGrjZ0l78mPaOmylDW0HQAiUcT4peTXP
tGs0N7HnXKSVrkeNnuMCyfkLrN3nvjdOUtxmto13sPNvfL+Kj7MrrmZgm+HYT6fAFN9sWTZhu+Qv
lV01Ww/jZKTNWhE1K++PyWlZ0rVOEqlAp4U5bX2G/fttJKWSHyW2nkyQ/Gxj3gZjFb8sakg1l/Yy
XguD9gjtfoY4VBs4Cpc2fdSS4g0+FP5vkLdbbs6oIhgFtKpRZimKM8rygeXHe0DMeJPMvO+s0tvb
ok62NjufUGtWlYtv6wvNnJ1Lo64egPC3V8A/QSn3HnCxYI2jeR3h+MUkvJNOFwzj4yXRRT/kNpaT
h8/u0453s2MnxhFAUwpgilecKwaLumW9FXHjhsZqGaGsxnXTLNqdRZVHpPMnkWsl5Ej2mhVDUcQ7
uJA5mcrePiiY9Ginp4IbOWp6e1spjJeQ93qsP8ROJpCbRuK8jrm11nUmKy+6LqdGxui+FIEjp60r
azffyEFBS8d83fQjgKxdNsV11OaZpP8kSe3fuTb/15PDf99MoBzEfz0TXL58YyL480Cgvur7QIBl
GlqFApdAoPZcB2P7TwOBAyrJxi4PX8ZUIbT/Va6RGSg6sTnBf9dRfkgs7m8e1DXAGKZrfZSW/h2J
BazRnwYCFHXVak51hyI28U38vC7VdBIiZm8k5MSrnbewKeolp1i5dFdWX37GKxI2M8UEa7acPATE
fV0ll6UYDrphvNna2G6mADu+NUmQ+OWZqTYO1yC/rFG6IwPGeZ1l6AYCnp9flY9YfhXENqAyAIqD
MdDi0vvDVY/xZDTGJ7cksZwXW4d5Hwdw+uwGZaSxq3vszEHnSC7OSTXF7MWcEYSEIXbDkF0JNjm4
g80n+OW8yzPY99KyZTRhPGHnFr+Pk3yzSsdFs9TdrS/g7zPn34sivZ2T+mXVp0eNJDYLuGTckCld
KapwTg4CUzQAuw0bQsp87MWr7+RfU68DDkUkvJv4EQdKgLayMW54DIP+Sy5Fs55zkY37vHP0SGbm
jZOTj1Ib1SwrKXLy+3lTEhvfu3YzsouavsYyR+qm24FblF+CLnYWuLb5A+PBTTYwPOBtQdPiIXYx
VcG9rOKoqoxbWU/dLi/tKtKC9ZyWwSnt53MjUn3Dmk2yMRyPicHJkgivCV0GrFAMrNm0TPpRgG/1
k2SVegiEM2Bq9KCfcUE7oXzlO8yJ30CrL6dkTMGb1HoSySr399bka+y/rAu3NY6tTWnIwgPydtFq
no9tH+ygPught2fC7Bpruhpn7K1wNU5I3D6ZR+VS+7zozbqXiYUnu0kV0I4MYdPYO6/uWvbA43Jw
63jXJ+3KeVeDLUqqr6zHqw3CSRKi8lfbslbI/Sp+Lr3p6CbkEbOCngl+0wWzVrbLs5pKEu7RWWz0
W5W/PJlmewfaPY08c5yjfHZ4Qw6ec6VLnFAdG9BNMqxfMRpZYSMHurs08JZ5UQccAcIjxmuO0br4
l15lB5E/u29dg8m0CwzUyb5mM8tb2bHzOUrGrNw1yQI4Q3Pv69R6Hj3QchmmbGpWvPLQy5nQfzLd
U6Aij6xovqJ4UcBRxW5YJLUf6cPI2zjwbthuUuNgl/ZBq5ynIDdfgXrsPULTW3OWl1qlYS3TICLZ
E9VKafuKx3vhxfcAFdQycG/1Ze3tkzqFwAzy5s22s9rHW9MbM/znGQjNDkKF2JTDAAjfm3eL1Vs3
3lQ90TUlI6g0RghCeAgxDDwS7ablJp66Lcs6fBxBEQnRL5uiEJ/J7BJBLtmoZQTh4w4/mkFC/dy1
xA5bH38xwN2HVcTXndtcDDOYsEHU71nf3psWo47pn0dfv12B861rujeL6pRq6aWeY54D/AznpRxs
1tD2nS7cMTL4fXftTGjOKqaNx7pSeInJyplvPEgOcrLPuqa/u6gLFIWpR5O9FXG1nIS2vJgY3UII
pA5Bd/yIzJnuKVv7nT8nMy06udf3n+ukHcVuThvuPqnWiXtrGuSjmOfpaY7NpsD4K8fuYGW+85wU
wjn1kqXBDUb1hJaAVrOf44RB7jInoL6vgqKPhiD+zLbC3TqzyVsjVjUKvF8ONlcdAgNruZl4320d
GuFC3oVPgz0c1oJhwoghbborXkAVQ6DGoQ4DEd/663o91/gSV5ikYCirm9JNik+DwROuauiY6ygW
gYKYv+PBvO0gdx+0Cad+JhsucEW58Rrvzgr6b9UyPrYO3BM+xXs/7h7XYEhV38dNYGfnoVicTdPo
L8bMc1zUE/ak6s6YjHLT97E8tCWE2FrG12jHJoUmsF+oOpq5zUxGcayFCdzZql88MdK0YRK399zs
IivyV9OfeBrMrzNo3pobIDhsB5IDwlFSUvbBeuiBLr16FFFVHHxW1/W6zwZ6Ikb/GkxoxtCUv7tW
elqpR4lri8m/zLYGzNjQ8PGYlGNrYW6eyC9YQItjnn4dlspdbTV+uCxEJXIz2/ZiXmmoq/Ys14xN
NcH3Zot4l+VOEJWddxE37Y2QWAPxRSGX+Boalcm1B6C3k2g7p+vkBmn/sXDB6TNCam5cb/B+fs79
8WtOvmcPluU8NbMIx7kH9LB+dlo/BCB/TfEJwlvvnpoYgzqdMDuWXwzq/jNMuoz7twADqwkjHCrj
osbOsyF6gf8aroHj3XtBYYWGab9Rq9btppWHreX357zCflCxtOd/nHed253YJiebIQM/kHXekcYA
ns8MpVyKw0LL7lk0vbQDFImW/9YvF6PQHguLl1r32203iJ7HzbirjOQtD4KDQxJIaPxq3PjvIPK/
NdI4V2b6u8b/zzxpMF799Tx58SLlW/1v5km+6qd5ku0SQhMTG35qZb75MU8av1nqP/sUaf5ri/Td
svPRwobBjWQc2MyPnojvlp3gN48wLb+jxy9+dLf9HcuOmmd/dcmw4MKp4xgENnUbM8mv8+Q4BLPW
CHe6XiZLett0jHMuMl6wYHjLUtbg8blfiwQ1AORQ8WgMhsacqPtZf2zWTN1+3LW4kEswgSqezZ5R
bGpqQbqpBvr2dXYnT80NXbxu+6SDxIVr8TC7RhK8/95rtEgpu12feXYcxVwk+Rw30KZgCWmxtm5b
FwwZF9li4oOyCoNZ0fvoTILoRn+S7RkVR57/4Z0rKFj66FrqxsR2PpUGmbcdORcWLAYG7dq1+wOm
BoA9Fp1O75Plz7sEbo6Otp5X/RaDvX6gdUrtuf3yNYtrNwp4LnKLbZZxq5X4LceKKs2AiDv9Xhq3
Xyyfr6ODCXJdK2vf6wuoVqdN7L2zpO/upNlhVfvveV3amHEwensNv9ZoiPzaOHT72RPTOU3IAfq4
O8Mk4wApe1YlGPXqV92jdsw0erbIFY0+YcchGQ6Ogc66ZPqBdUEa0otUvxi+shauIjk1CKY39sIq
C+JQsKfA7K3wVmcP6ourdzraeyl6sDLcOhleuDrbzlDeFPoAjRgxqmpGnOxtO8GNw3GU+NZbSjvG
wekK3hYjrTdVYvOgEYkX6q722hQkNN21BNEdCEquuu7dm+IY5SZLeZojWkRTR8Kn7FlaCVHJU+Do
eWSiHF/yPXMNEK44FdMIrCvXI5APNp7LabmFIe3sp0Cg66j4H2oYNPDOhrg1xOO2Xju+Td/6UtYF
bV4tA0endifI70nIvYZIUcMgM+A+2xul294mhC/DOZn6Wy/DobAuRkvR0rIUbDNMRngk8a1k/RCC
72m2s+ENrAGICcVzXRyMku6NlsXf4f/LAv+/8Br+H1fz57fu3z00f9rKGxTMw68B7qGwnh8e8R8P
TdrIVczFwfTkgmf5aSuPR1xF8gOePiojo/Iz3x+aNvZxOm90oKSAggk1/51L+IfZ5w/OQmCXQcDV
Svc4vP/g0/OMJtGR6/orT3okRUkYkmlMzTLyWjvYe6P/IuNk2rUNbWXGsuY2tYnSH5aAYIKZP/E0
GrBYxGLg+sR4V23yIZ/0LYnHwbtp7K6bbuqpuWqsInvQuonQWGrBlcvlKm/9Ms2fuRvjVK8XqDR6
jCk9CSYRL2Cf8LGb9pru+g9LbuvMnXLqaBUBRgNbjHxCFsvnJpxJxzFIWYMrM7kz6zkzTlUFf/g+
WZdC22e8202GraTbBxYem8yrkz22STfqxJTvEQfb7dTGxn4sXAM1FOOJXriMoiP5lkMB93ndWnJY
YBeYwTpvy8Fy28vGU0/02sbSdORO6V4Oi0wp7DGFe5+5LvQ/gpQw6xFH90aTFv19YZXEdLl4l9ez
6abmvvX4d9wg4ss62dihGiKMOYDNVHjHtjQsffvPR5SEh6KY/6fJ5n9K2nK//WlV9vuXfR9tTIO8
Br5iSAGwHiwPC+aPT6n5GzBeGmQZcHTIWvzS/67KkLKgF6u8P/KY+qXvn1LyHw4QWKYbm25auDt/
51OKWP7H0cYjReeaKPIYdnSG5F9HG66HbTD46XCdUwB18svAvuzq+exTYLBxhu7Rpey6zfviUHNi
rG+pkK12C1qKnfVKvQwKEDVTFID2xXLbJ/ZJyEpQxIkqY6xM9l5h8EEpRzu0m3SXEK89Yt1CSKAd
MURcT9JNMLb1rvKacrinuvaJrZQINQY7VIoZ0aIxpX0aZ2oKnaaeaTJffAqSh7LgU0Nlck93chJQ
opypOuXFEFgLjSI4lqpsuVG1yyaxjUvf+qhivm8+upl9VdPcqMLmsWNS81SJs1B1zqUqdjZd4tcd
NTSFp0qfE+ooemqgHfqgfVUMPaqK6LEEaa+p2mipCqS7SV4ZEgIbFVZPHfn8xZgUujAy6Z7W7eQ8
qTLqXtVSZxgJCMj5yJJcjWte4TABc7XlD0ve40m4zzwNx3jXOi03KKylG1CJtCd0w11aWPd+rtfD
sWGD199mlKwcnBZSXJu6B9YZsr53e51IeTrE3hhaXmzvLYMUa+jEVD7Gw3Qk7TLsBzb00VrVN0su
r3hynOjKvGp18+z32o6Y8kkD5yRWhHpV0M7C3cmab1Nt3mV98PTPw4OHh6PrfJT++lr0PxVgku7P
1yL1VT+eHR9ZV4gg/0p0cS358eww2MB7tuvga/710UFyTA90CzEetzC+Ye4q3x8dPpV7zIaYsFHL
XQ/q1N+4FfGM+tOjAzcW07WBtOoBtlO3pp9MyaJx1sJh23etl9ZDgZxjkiOqbHlbzOxnJ6X4JOAi
K8M+5MuSs/JAFYqVPtTPQxzqLUWR3jINEf64O2jTLKUazwgnu3eptDaQv5XAFvB71QSMtiUK4TFI
mGkbMJ+d0qvWWvihIeZLrUXLqmpW4HTTawAYnTjC5ZizMDE1WIpTe6UjiBGqcy69ca0vcpPYuHCp
ik9iEpimktKkoi4odc1NU1qwuvohrX2eCUqC0+kGYlTZxT5sYllgovPs6g2r9SM2VQ1yq3MQKHqa
kvbiVl6uSuyjyfQV/0POonFYKAudtnV3zI0LQ6mE6UsHnZm9nhBxEk0j5NZWyYoeayx4FbT6mqts
tg3qIyMH00gPMwNd0uhhPwQ6P1A3EjdDu1w0NuFLvdXWiwFZE0bzs4PMKZTeGSzs6wMk0C7pbjKl
idrUkIZiNq4ZRZReOmwZCXlJLKa0Pknk0VN3BMynd6ZSXAOk1xkJVtY+3jOlymZGauxMpdRKb0Sz
dUk6N7Hot6VSdONiojFG9y+42xyXIeOm0qUU/9Zo/bSL6koZbi3c8r7kEHEDbMzMj1BYlZac9Lq1
iZGXE03kFAA2+1bPT+BqHuyApl6lSleAVXtSsTDggkiYbIAa7Kthg5A9UaVDzWF7sgx+lhWxO7Aq
Wk5io9aZGPv63o9xOfgdWI4Cur/dfc0UBcYctRve4C+ByFin5Ul9SgvjC8vYy04xZDR6aCMKCd+w
MLyN3rLspCLOtNKPDzhiXys+oqHgW9kUnDSIksO9YyaS7l79BBX7qQFmsyqqjSPSvQBz0y4sBqWO
q6BXDBxRAH/opLzq85WPz/iQJvFrm3r+obbwIOdadU+BhwoQDp9bIDtF2yfsDmmTWRC8xeJWOx8k
j5s4n7pUT0+jovUUYHv4PaeLFl4slkQh2Cy43ebDfgrvEOdAoF48Lvkb3Y3dCETCZylyHC3rwLVO
1vVJmgNgXM3z6AzKiB5KhJ51ZqpMdEUcStPuJnedAMB6G0FGhewxVI++AiUkfYrjD3SCNAWkGYVT
iBVYQSrEgliALbBRx3TwAWAwhyPd51Tk+vTzfEAaFK6hdQE32OpT6uNakwrqIKA72H17yKE95AK1
O1cAiKbUDD5pQCFwp4KHUKCIAGJEb1Pyjic10mBJ5ODQhRw/GTAmnG44CZgTgd3djx6OlFVWe/Yo
AGeqeA1rSBUjxIpMfCiG6U1lD7dFMj36im0B40LGmCALhb2o4F+QIDjZ8DDY0Dz0VJeQLgWVoQth
oRjNFwXXY0/hNKoF94zZzZdxZ90WLDwpZzLo+2pOpoJxLFA5bOgcGZQOYhpXpEpu2twjwj/K1zh2
WJ9D9ihTwud260NqzqtnqfAfsQKB9GbzIFLSsWyptmPJu4YY0VI8WkPuHDKq0DA9KXU9FRjgld7+
zxH++xFODuuvj3DCHoP80/jPwc9X/TjCDe7bjm6Q9CNk9FHe8OMIN7lvOzqYRM7Oj0H+x/gf/KYu
79zQud3D/vJ+OcMVd4J7A55Rdb4Hf+cMN9Um4NfNpufphm8bXCVYazJN/HqGz1OcYKSO7etibbzl
uLqiIjWcWn18jUkXovqlRiiEUiKv3GhDer/YCQXYTIwYrFDXkHGApJRtsR2C3o6kU+kHfVKN3bNF
of0oXrjas6l3spe1pdSrsgjVddI9l1WCRzrOb/IWZ2oS99umknY4+rhj/WWFLxO4MgJiEaNfF2M4
aVRZp3CcaWrsz1SywMfxss+j4d5mFqWXJcliMUf1iJ7Son9Bu6QnMxe3K59ctmdHrEI04ZVwfU0a
BTYBfl20g/UlyLtb10WDGirT5SNr3ph6X14O9ip2WOLryITaSxqlfbfi5GXI0aYqmN/98oa9zYlI
5GxHCjCiki7H2bQ/N3XCwx3f3cGWZJA6SyFlG7hFlsCSSHFmtzHG+WytWb41u/UNKvBuEOPZCKa9
gVYpG7GXltx2hGbM3KCWHiDEphsVp56I1MQTKtBDc7Wo/IWu5BClgaTGwO/1G9auD/4AyagsmwNx
7O0s8ocy0CJoXrdNp59TbdjgwcXJ7VS3Iy/pUNmk7+asq/e9Zvg7321OhlO9AnTloPfiC30MkKuy
emOXLHpP2Dq7W2PWm/g570rESWmJpL7V1n5p9pVRs7nWC/0LF5hAhO5YfDUdC8ERUmdmDl8Dme48
M1CV7fxyNkxvmMfkJpdg4qtxPvRLemXXsb/FY7ns2j59x+wA7tVfnmAVPPTrfGuMxjPpuxOVvU/Z
mAcbl7T61kvsb5k5nyY9WZ7LtEUW6hvybtC4/JFNpgNMKne6W0znB6/ztYvBax+WjB+LWycjYOJf
xzONgcAveArjj0gppnQKN9j27qIfVg//hrCJUPSPY49/vmpsMyrJcxRJYO0dLSOeRdCtMRzQKmO3
0UT6NSnaFQl6WXckxJsNSLk91Q5PGY0ago8NBHlkcPIsYeNJtfZHE4Y8cJwn4PB+p90ssfal63WQ
e9RX5mb+yYnThDSM6TGccTQSr8P9fQB27jH00OTnwHinVogsgk+rhlu8y5Tu2cp+GWV84ZYcy8WS
XzGsnBuLWyzGx3NNsCg0LWsErOZBz2IdnffjRGkEpnH6BkGvB+VLTa/kSj1qVYKrl8mTVVjN/aqB
+dNSX7UWOJ88Lb2fmbT1YPrSpnZ2bNLguM501yZ+c46F/OLO8Z6Q473musfU8q+1ANiD7r6hRV9V
lapS5b25ussaNUY9ROTy7sZR7AsUXgrb912eBtsCljp8h9l9lqM8pmY+3MU+ggBti7tqns4uPZT/
rLb+5e/mSf/XRxsJrf7t31xO+aKfTjYlsSku6nej108nGytf1lP8w1llcnx91+xYTNNwREL09xuo
+9P6OfhNJbrZRtHp9fs+++/cTknl/+lkoyqO0L5ymtt/oqGPzYzlK0mtaznbOnPreJwWu42M3AJn
5rY7GCUA4/rlM2gvC5ON/bWz/AvKQIrIUWmYfGZ30nfpuceiG9Y6Vb057Gl/bYZoluMVXBEZ2UEH
UkIMeFTqpzTD41uVd4Wd7yGKnVA171paiWALwaYLGlOyVTIv6oqwGVg3jEoBJhW6xsipxJ9WkX92
COFxlQDb6c7VtZNY1wbs3AB+nVe2x8JZreM6wuik78jfjOm8J7C/Nf3mneXa3TAlzqnG/N4s3auP
iBjI9XFmHQflA8HMIvAWunZVR1YTb/QZypTXpI+TMTwXuDM3qHUHE/sKRiEP7lJqwVvnKkEXsnUF
lu5E/zhdSkhXLe6pcNYEl4HSv86qjkt30l7nztic5gqW6JBxoaUFpcD51XHUUnV8JV2hUzg+rMBY
7PXdR6gDVuh9XTP+cmkATW9NoithKru3lAXWZS7KoxNozLdms1C1Lv1rmc0og97Eq4YvP+xApMDL
gyXIjU0RRw13n43wsNyO5I89e8mtnljGfm3QvVpFnatqiqoIqnL0VOh8+lLmB8uay61GZfU+T1UE
fSVQ7c44+JngD1UcG5ExL2CaaHDa2Rx7O3uyym1X9ea+F1a1ra38giXcGY/PdVEbRzjLa5RV/jud
miA98VVtNWCJ0TIs+daIvWVfUAC71XPYihx+9LDRH7Tvc+y8OTrEPjCJHVV4v7DUGtkdKCd/PyiJ
xDLoPNT1OI7IOljYTyzttkQECquVn7SdXdpc0MN3fqL1HDYTdhCR0FRBDJBcT5GdHG6D+8RMHxZT
3uCMqgF7Uqcj+uZVlDTEZqlL9BR589QE3DISxFNKy9VfUWbWz5N08k81mccQrmp9WAY4EeaM/YSx
wLh2fBYmaYOdJ+PvPbQ6bTj4E4GedLLZ73hD9q1QkrBOe9B2TCrtoPf5bnBwC8U1F0jST2EV1F3I
BE3Rk50PFA1NftQ1Vblxx5yyaWO+zefhzlUSp2QwyjalWV5h9esPBOve+3p97RGHd31jDPiYy+4y
IyS1sej1KbvWPbrLxCmoeSNuoNq+M7XhMQtEr0V6P3A0peZsGKoI6uvEd0VpOYbONC+Z5NIWj9/y
YGjU8864vzaMRKeaYXE7TcAng3Fg14wLriFnz7CWbLO61ug2Z4S1rE8jN1dscelD1eYnL69vJk9u
NM27lM5z7JnnAeMXLSrl2+T2F7OtUW4C4yvyp2G6GPBkH4JAmUZhE9KnrF+Y/Glpk57H0X5vCZTi
tC8v9UkHghl4j6sPDyDLV6w4svqG7EZWsqqOIl9u4a5cMIUTYE9HK6orn6M1MwhNjqkTzYoDOmZc
9DETHWsJas6TFraqhZfQoDl00JL7co6fdTE8NTaPB19vxsgrunM2GS9zQa+3LCzcrlIkO9wPeyOz
gCjY3XbMJauylSxHKcdL5uLPg8tGytPsm2D2/FBUFIb5jsP/2euI50UJiLUXZ3TuA9kzKm7seJfr
or3OAjqhcvLFoTYHUT93bzJ2mdLGLCL+7T6x3K6crajny9rsvwrbO9aD8wUnkHPMcD/k3fpKUJ44
uJgP/NDlLjWJsFfGGpWud0VB2D4NhMYVHVRroOFsEsZBa93DMrWMXxmxh2y6rYfqojQlS6qsfO19
+Ke1dWUkzV6z231CDJzXdDOXBv/uvKTQnjYSMKjMvBu4Eng2xXLs1cg9qOsULWxEdzXOAiqfrOWc
9gCGmdbB8z7QHLNN3frgqXF+YK4HrbohN9mFdSy9sGL2j0ETZOXG12FBSe4GLHDf4oERnHNMW/bS
N6XPyg9TXOLWd3rWdf/MRr/PRhab7r+ejW4AC/67xJz6qh/DEZt74GkWzhr27Kh/v2zubQAoiobC
bYnl/c/DEZdwVva251jqSo5W9311H/yG0d50Asekh+tDRvw7w9GH+P6LOG97ypzPd+EjS1p/BPTb
wFBq+q94cpcT2l42Ymhp/ba4zONyYysFPV0/x1yRzbYv9xNpNy3DfF2lMXXuyT6IycVkxfyp66G3
WIIrNLN6YOvnIcbfV81Ha5bE6g9Orj2JJDnFyY6uuWsjD/CS49Tm2qaEfgMNrZBkUJn7v5VKql4G
pyAG6j/hdCq3PkhpTtz+aRXVYTK5ZlvOeJNNvbVta41NAUDxdZwXdYe5VMwnTFnlY62RQ6o6/S1r
5Pu0mt98rWHtOBTppjPn+8qf+YjP9tO0aJ+71XZD4jNsqF1GqhVGs7ssZz6bd66BfjnXFWiwOI8o
u+B/jOW7E4PXHlf5lYg5uRVhqqdDFsYxV0JIDC3+K+urXnxxlpuUJD6L3k3mTN3BVdU1sdd30WQx
iZJ6o/orxElt0dhtLdOxk1YfvBgZZvFtNndUrtcj6qjy1lBF0aJ/gGzulfNGV62PkIlUhzjWel05
dCxzJNLmKt/Oohw86YeXZy2721H5ewbl9GmU58fEdhFKteNPlSOoUt6gqnW/COUWmgYYfrZyEAnB
XapXriKWx4AhlNPIVZ4jJG6Qx8qHlGNISpUzKVAepbiws8tY+ZamYJCnFHLgflauJprUabdplddJ
Sy1ugcXwbiofVJu2w6ZV3iiI268j29OQ0lT2KWrAMSCuhfCWxAF9/I0HskPODsZIrbxXHSasUrmx
hJOXN76VwGX+8GppS7YNjNre28rJVYzS2XOAv1UzLi/YFTiAlfPLUx4w/ubIdipfmC+AtpjKKxaj
1PKC4R+rlZPM+jCVYdAHc6qcZg2kHdbISMRSmdmIhHbnSXnTkgmXGggsdt36/2PvTHrjttos/Fca
vWfAeVj0psgaJZVK87AhJFniPA+X5K/v5ypxYvtzEmTRiwayCRDY5ZKKxct3OOc5hIXWvZ2vuXgm
MnPrgzhGtt8I3TRQftvuU/ymSh1c6tUwnPHLvKqFxKVSBVMKUSZFBRq6Bp7zGoUMwrpUauzSEsQs
9xwomFRHMr1kZb+OP4V5k9Toeajs0o+8qOadq2n6FW78hgmB05314aK2Z0ad+K063TIuZ1ql5hYW
NC/bVHlzPyvMZNQlZCOGRmbdxZNvjd2TEjUPeVUuKAc9ltmkCazHAlJSqqJWdOb0Xisr5ndd8jx7
ZIHqcRSfz7DGWfWD7FmGq6Ts3ZVlQw4hHbbZe4P9Hufj86BCNIlcEGOe8iHSvvOtMnkylPSQm0Bp
EENuDUBbPjM9eYh4F3wU+yHzPiruU2Xge9EX7q3qWqdGiw8MXRyKpuroqOabbnsPY65MaOmnU7+0
7p4Myl21dDfd4t2xJA/XKrgvvxlkaUKFm4TJvDXYWfhpOZnsGsozEXV+68bXkdqiQYjCejVA0Tiz
1OVlAmmBZlPfsb04ZE546RriQpnYf8ygOrlTcAiUfNkkmIYowdJLXtl8lc921qe7yBgTtoaDsZpk
lU1rDYTSrrC0MHDzOoszSx3KtW00J7ZEN7as11NZuUclNfwkq/lM1vWOrPBnhXjGWlb9YSWiq0J2
Ah23y9Wn/HCRfUIr37SXvUOKN2mrdnVyncvOgsIA/JDsNjrZdyjW5G1r2YsssishXpL+RHYqk+xZ
Qtm9JLKP8WRHY7fWB6CZJcjMZY/B71Kl+SlogqyB7swQqr41ZIdkyF4JbF2yiZHobnPZSZmyp9Jl
d5XCBUpkvxXKzkuXPZjLLmcXy75Mlx1aLns1O4aJMMv+TZUyKqC10ZUlu7tY9nmD7PjICWBmJbvA
RvaDkETxeMoe8fMJ/692W2Vp/+elTvCe/9exan86CuKFv1c7xi8W5YoKNeRXmdM31Y7JVIdsMBq3
38Dbv4+CdHKtuUnRaMMzU6Xc8Gu1Y6L5RoYIDs+2Dcthy/dPlhxopb5bcZhAupk5feZsGSaZRN+v
OPoQMGq+lOBMqfzVLDl3osw3xvnXahj+Q/SOzSEn/rn8L+r7U8Wx1f3Pf+ufu5I/iip+E+SOUloB
DAGYnvUjhgDMVkYjnIkT+sps30N1MdfWMgAeBXtR6REmEuFQ3vfVpTcP501W3zl6C4SGfbIvgFWt
s1bLzsYWmwYSI4hzMyGYikVOJP6kR9HVOPzcmFm/nODEXX5T84a+XuenSk2YjDol9q9GbwIXOItv
cNMyHXDPmmLyPWZXfgkHJUBPytQjKzehPW4QvWPiAdsddNlEfWA+KK5z4ZlYxfg1H2MTYioAgBsU
+tdKMR0VxTr2iYqRQoYBA2ncg205irCI1oWn3THtzVdqNGJjlLPkYeyvoL9shDk8eG77rkfOc1TM
T6204WcDtkZoaicSHs5syCYbHJ072wvbbUfKhm+07V1lR7tEZlvkcXyGAva1FHG2GQu1DuwRzHde
TTVPBDmGwAi90frlWSuK0V/M9NJ0240785gjKyRo7Ox5cLS7tqP+nIphVWnztdMMW8vTdzjvFWZd
ILmEaSQsr6FvxbqFk63O/aJvXN/xnr0eBzyem4GqZdUNJsxf+liXTR3XL93iff9wZ1Rvqm1dIFpn
Ul4yamvYN2nOfNQFXKCZBZeItWSTafkJDE+6MQyxXQrzIoqoyXrN3Hojn20sONMUGzNo3XjPJecd
Q8lrHsRzYCzdfWKjJYhAsqzwst50YthrVjYGraG+qXyLV5GY7/MksbaTsVzqE2KALk5H6DHtFy3X
v+giZ480absq9/bUchpLJbFlJnlVwNdDam+fOwbZsnZevi1p/Rg7XeyTLnTLOicNzMbJdmIwtgzi
fN0IN4wcgMPwFUOgYAqkvFPcvJSktbabxVUw0ln2hG1OnTIMNrPegiMCMFQGqiM2mivkfKGFoptb
bMdnXJkhvnPT+CJUb59YRB0tVctSP6vH+4zwc6YgQiOY3UrklmbSkiBL9b1RmzuNgWIvIQtu88JS
8lrLlHfX4zI1LBoqvo3MvcbbKep6yg4RVCLT9vgPmeCJ8dxt2fEpDMEwtjFy6MZE6gfFk5063XqK
6osoUUO/qycWoZLG1J3XKUz6vtsJ0T8CG8Qi76UkjatAqypyzrlljTI7sRo5yxVlv+TUgpRH8XqZ
ZkbLY/LFFlgWU5FSDQzaNXi07VT17xnrSn8amALZNWnAayRL+9hs4WQpu9l2KEDU58WaM59KvlvN
RIqbN/iAmccNh7qSPlLWZcQ86RuAB+TY95jyjbUwzN2oG5tWi5l9LvW4NZy036gaE+FoNJ9L7GU9
OSRBqLQttst6O2jl5VyJp7ZKmQzO5j2QV/cCR4bZ3AKR9CPXbMNdpRda/nfH6PeqMnmK8rgw2edZ
yF7xW7Mh+FZVhtHFMMPZnk8C0+fK3IaH6aa62KdkCb2UD9RAe6Yvq/CMldoQpFtj/80D7ifHuBSt
fX+I8/Z42g0E8DrBbPLH+0bU1oaDNSr2sJxG56UO957ar7zpWamKXyuKP31c/Ox9dPLxHDxF4Ihl
ktm370M8OgnsULFOWnIOkXaV5+9etEcS+jfv8/3T79ePU84MWLsAOEbG9P37NBA+rEGL1ZNtnbU2
gQd4ms2Hv/7MPscFP35o3/4yP7zJEKtqpxOFcBo33T06qPW4U7+4gRSaXUBHj1bX7Zqdwkbf3R3d
IF8dx4tkc9+tw/VVehCrXRu0533AXwzIgw+q9f1f/3z69yLnXz8EqW52DMtAUvFj0F4O2ZPdtKqd
WLwcwyt1rV5oD7SAgEP8IZhXhydtO/nHZiN2luUXZ2zrr5hIb8Qq9z9/lH8LSZVr/ueF5IZpbPmT
OAT5qq9VJJkH0sznUvkhb1FNLuLvC0UoUyyHdVp9lb8hkd5/KOX5f9Qw2mehSAH6exVpWL9I+BSK
VwcbjByb/ZMq0vlPqYyno2ZDcYubhe+Q8cPBlBFS4MFdcI5IBQ5R34zlRS/02fbTYqxrEI5QDbau
6DqAnEU03VfQCOagIiKcHWIaP01GdwODcg7irsx80Q/bRkQBJz7PQLXUgwoPFg14+oq2OOHxQa75
rHSA58DDsVLFpZ4zTMOnzALxgYh6Lbvq2eDd0CLuPIE52cHnnUPfjNREOWZh6dIUjdjQCiV6mus+
PmHJTexTnM/OySpdHusmchJjZcOkqgIrLNTy1gaEugkJpxLrbtLCHqpuFyf3g1l0uI8z8ZDpXsy6
NKt2SZym805X2wuImQcxWNdWZM6MuMp7dclvB5MdQBXXb6ALCGqJh1fwjIwgetx0mvEaS3Jgq5hH
e9DhVk33Q5xYvoE8UhmVQCnIfYok28msay1wZ0SlXYnfXTPjB1BCLhVJBm3HuslczNv0k8GsJF90
z7ktBvNdNYECdAUfiuX2V46RQRSArbRj8saEP6qz51mGKWQi2akL1UAji7oid29xx+ibqsxKhiO9
sppSfReTxFCOI+ZCkeyN2EBKX7ClhRkpZ3tZudbTBsCpOh+MWr8K9aHwUWtipDT1XZVR0ugubn5v
nvT9PGqUo4P6Ra2gLQxdAfHVCuEmddui9F6iuDojLeSsMxAJJS67IGPxbpyQlQgs8s0UKl8sb9nk
6rQnJOcYtWzN2AYHdbvYu6LEX9CRNtFX1AB2IrLVoBRvIvamYJzLR77SPWqO0SGxgh0tX68rwE09
Q6zq2DOmJSwwPIGwvbIiJJtRrF2HtcLpSIzaSp1ay2e/28mNcRBb1eOQ6u2qivpDzxXsu2GDVyHZ
Tha4NFttqvVS4pIc58upsR60rj96fXKb9uCzE7W7L6L4WhItITINWy2ylT1JXQZcyfZ6dsJb1llX
SzNwi2hJHeCjiFZeksyMdMLTEC67OQ/JvZiUt7ZR4kA162w7W6EKjtEDNzDgV4msbusyDgoAeC6H
qnYuUxnxUbmW8OuhNPxizHvWr+Ic9NgXPB+HZHBJReqSCzutW/iezhkuCW2renIAgVJN4wYITC19
adVakEzRX3qt+TgqUEm41cdVOhe2Hw/GRzEPWNDr6npYar8fHBRauDgcR7KOy4oFYTbe6UTW7hST
b2coc/y6PAFcoS8kojmPlrBudKrl/Vhl9DetvkcfaASG657HI+twG/WnrxamuRFNeplEdmAr2XWR
j8co5rtNWDYCelgzSeGd9KhsNnZOwpGoBT1Qy6C8Ke1boTUjLDD1I9RNbPn5m2pY+0YYKnAa+BGh
or+bnXLfpY7nF0VxX4heX+se9py517aJXTxVs3lmKdUs+RswRM2DY072lZG6tYNUTp3BjTevBviO
SrcIFZL69MFqLmzJ+FiAfVjj8toa+lPjesbOkzyQ2nNOiySEuH0Mg6xlsAWMECgEIBEkrljhnP4m
Lnv2XbWa72a1mpn1QyBBqPBc2+ZNXwCYFWAl2T+GIgAdmzJmqksUz+pxBIu2pn94HxfWDqVlX6SS
fDJKBkomaSij5KJ4Q4MOTRXIHEzxRhMHnKWDo6KGwjomkq0CXXSiudbjwAC8IiSBZXaB4WlAWTJJ
Z4FxgKgbXktipTORxHF9UQBzmYG6FJLuUkjOC0rRaDUZfFvrNn2zJQ2mDtNlbQGIiUxDkmJgxlTA
YzLIeUHs2PnGdRmxcx4u2xLYTOta0HkVNo7htpI0mlhyaayKLJa5E7AQ+sLbTJJfw54lvLJLvd44
Em4D5CZ1EnB/knvTNYDZEBioPnia+RAPw5cMvf0mlsQcvTYg8zHFRXUVlewiyuVuEQXXhrXJxpLc
HQUj4ioCAbyygPLAtKXP01xEbxZYVcA9IQAfJVkKoL6EWoYZMD4gP0hcblzFsc+XrqGXkiSgYZxP
9RDfljotbgbseIOmP1kNMEqIA+jf7KZAFMEiaztJztCsRb2PznxaaXl86oERlUy4g0zyiWpARYhX
z3EqBAjwTqMkGRlpg2uaYFro0O3RA3fkQn7MuxBVtQPayZZMpBw4UmW48zqUvKRogZykglDShuyl
ypRTDlopw5bgq9Tz67TVYJGY9XuONjAqVBJhJJuplZSmAb1EIHL1qZYEpxGUU+gNUAk1dQxE04Z+
BfCpdFHKplMa3TdxjrsgfLJ1Fv06ty6o7w8EJk+WoZCs1h/rz767L94IDPLWUKYz2ND5/SDpU5Xk
UOkAqRa1VgMlTy602gpZ3mRneUslYvJMtSTPSgNsNbkd++Tw3JXEK1ZKB7QbXtBkLBis8qEAjjWV
OqxHyctqgWBzQQ8NKAwrL74ooDHExALKxjABuX4H3umdMdOGvKN+20HF7mr+VADaUFMVZP5ZkbLc
gMFRd9mLN6SvoHT9emS1kkLsQCIkvzVAPDpoHksniOvMuDwS9JHi858k+iMJdbJQoYFADTFWDNxu
kjTiL3OAj9BDklamRkmgCPjRZEvl9kwFtk8m/IcSPmJAIVkkjmSAS2LDJwk98aAZ/OMSXCLC9CyT
KBOj6N9MFpyRA+SkhnbCdgNoYHmvGTzwPCy9lgSjzK5xZIZx10pkSi3hKQoUlTrxzrEhMq+DrzJg
QyaS2cIzD3sFnQFhpDpOXU0UJLwAaOkkqgVxFIG/Et8Ca/SmkEAXENeIm6k7Vy60F0ViX0qz3Ttw
YAQ8mFiCYSLhXs5auq2gTMEo0t1tO5eBNp27MGXYqjBclJgZBq7bNB3xA0GgwdL4akCksUX06kKo
MSWqRgnVmIvVvGBZYb+pC/DOtTq2Z9w+t9GMs4XQznutdlbgEKENt2t3Z0T5TkeRNfYZ+CSjvirt
tsA4UiY2lEPT0pSHeKwqMrh08kMOTJdEQdixGN2RBdOozFfkwTyXqpUogRkyp4gWRySQ2bNDhWtn
NWUA7FUFlrEXIe8i7UlxUiTmmSI2iVkFZpENQThWj2ge8Ea77DLHOdIAb6RkcZQ3wrRRThtoYtL2
wUzwjhYUXkqY9BvP8vaxY77gHT1NCSuX2EFPHSd9Qd4Od0iWmc3KEqO2UlDB8DjBnJmpPNhgHNhc
P3ntqM0HD2mzF583LcmEeW0GU+8cxz659AbnHB2ityq79EWDCNJ55jnWV6qbqn7l2YIOL8/9rHTv
uiQxD/2gvi+A/LdLqoJNHd2dOQ6nBpoqRR4aYlqJFXWNCGDufGlFsTNwevrI0ZZN09nnZkOaBWyl
sndG3yoqsePcPfcEAzlYVD4i4G43jNzRqc4bYr3yMzPvVp3GgLBDfIcablvrVLuelj1nTeKb8WUG
+Sll/SQmY2+xhYYINB6VrmzIpe4vCwsgztzSnGuQdGfAdJF6tMgxzMvxaOqXNtAhhcVc2yrRYVSr
BxIS9n2cPPVOf1d7FQMp2CFwqifbuWH+5lP3HudGf05qTK0seDdGEe2X2Vn26ZA/8wPexTLP1aEW
XMcwhc44FZ7NohofimVk/9qkZxMM96AbyZ0g/OtCjDMkU1t7rEeVCVl2JVjqZrWLl6nr+SZ4T7lV
QauOHwpiUv7dDP0mEKa//fOGfpu/lz/hU6i86Gs/j/PdtYBF/2pT/+zMf+/ndaJakbFgPLEsHV/M
H/289wsFLeJ1z6bbZyn0x1bI8NgK6Vje+Q+zLMaD/6Sf12z+pW8mfQRJmRa1DVAhnRW7Kf+57yZw
8BMcfRpc71IvWpRllrbU2/bTzmAoZayvrRh4+TPs1fbK+DQ/FNIHsWCIQMpx3pZexuMie81Q50rM
4qj30WY2TXxttZFP0vqx7Et2w+th9K5oUz8k/tzHfsDjUN8qCMWiLqFXabYqAjIXIdlUKzsFYZnV
olx00uo8SsVVJrVnNrIR+r2do5LUSbuLxFL46BfJlUC4xvbrqFMBJVLRJqS2bVDn3SzVbqWivabI
3yZ8gPvWdR6R7+2XVrxxHl5gRsktKcG0nzysm73U09VW9d7ObpBJpV0qNXdI8JvLhURshs+lr4/a
rkGgN0qlnpCavcxQWtw76PhUA7zWUOKo76rlgYnBBbFSBOVIDWAr1YA6I4HYRGtrDNGmlYpBrY2c
dYqI0EVMCF93DBqpL8TG/1QgOBzSlKq/ugTuzyasCK1NIdWJqLH3QuoVvQTxm8YcP1CFCclN6hrh
9xgBvW/hI0NnUD9fFRYEmwheEJaBL3MxunDAUEoSVHPv5sy+SSR8wc6EC1PTPnpdOWjILEU/n6dS
dxlKBeb4qcWUqsxK6jNnqdSckGwuSDcLpRSPXM+z3npeCvsCXIkPrRfJX3rAW3kjpAa0xRXVBYy7
m/hc0cuBx1iSRdEK7H8Vw9TtM685TpHl7PPONTnxx3ibuC7LD5xS3oWOw+LgZNW4xfJa7flcanVt
qjhkCab1bkLUj56fz9pE7n3FOGC0ZghKrWXmQT5M0VabqzhfAaPUz508H0Ab2u4Ot7L6+O98kwab
RcRfagJxh6GS/tJz+pV90s9/xFrL1/1+IhrED9qqtO8h7sC2/82Ek2RCRvREV6tfpX+/TThZhkub
P25Agy0B/h4m/L+pAk1Uhio4PJbOX+ei/0AV+P2mwIKTphsuvB4NgIkOEOSH+WY/oHQllUmcBvUQ
oYeZr6tu+80z4ifLlV+X7d9vClRQQCZEPgv5Ib/v94euRph8mmZdfTIEK2mpfelYQsWGXhqnWMVz
LVemU3a1VIntHmVI2CMnhJ5duao1+7FaTPpBt2u/IyWmicmgQCVoG8l6STQGAovhz3N+CsnkyiuF
7DAPCW9106vs4+ZYWy+Ncz0l3Q4CR4FXioibpNcCy2wOZFVcKm72CkTyRUE8M9T1HrHxI7h2yvkk
voz6bu3q+d6Ju2alTe0HvQ2ZIokIck4sTIekySisw1ZknOyakRpzcNI7TNyN0SHNLR8jW92TLQIS
XasP5Ge/5yQMrkJER/VcvIc1AAO3QDhVqRPWAGhvWNPOw94RgVu2WFaEzuHsqK9TVx4MUyG71ixv
Rw1tpa7ftRN3t570D1kBGDSexVtnm4fZbMtNk9ZwiycReI1jBFYSWn5YtTdtgtzeMbHtR7NxUUQs
DfvOuMohjfKMGx6V1NgsgtAVnt9I8vX+I3VIHncTvSIHoUJMYZ45ojXXNVT8VZ416c4mTnDF7CDy
pxQhU1LrWNpGFz0ngEiNLDeDywmtV7m2hFIS7Z3fQv4Fb+5mT0rTmitd1HvCc9Jj3gsNQml2IBMW
9oLWmOAvI0Jx34y02qAjAzwrdN+cGjq0vHwIFwwsYeMycIq0Q+sObdAjP1wc661O0AaJuT0bHPPN
7Yo4cNPkwy0onyOijAP4vrdRY3+YifDVJnknZlYw9kGLpMMt0CbXr6CQjnr3qqUpyV8mY2HUE/s8
IfPKHPtN4hIONhgsRc2uRzypqB56tuE0eMrdGKFRVPIex1vcytn1TTT1TQDWdfDL0FjnYKzwQzjr
RZ7Onpve6HjxgOTQEnnjQ6ZSsSez/ZGm3rNFCi7SANa4xpTBWQ/j7AK5U+tHaVL7nCt34NtuStOq
wRcYl1HuOEFcxYIv6/Q8pjnfHtHA2Rd8Ho6zPGV2yEqf5/eYlu+mJuzN2Kp3WZTTp0CAnxRJx4l6
5lfKR6+4T5hFkFahoXUMja3EFBL1glHCrkBgGQhQ689lsDDbJtzVfBoeqpLm1ooE+kE741vu5dld
BsZxby1TerINcds0Os+g+r0AXwDqOCdEof5CeBJjaYZU4JuZpmUCu2+bpA+m2aPUR57c2felt562
czyn50VFv6oo1+2QerLSyBvsAAXe2ZH0BsWZqoB4u8rvcstaMdLxI6Nm0Y5YGKsytRj8ZvwYNfem
zAo4dpXzGLvWe6JOzYpjDQbxom2KvMZsNZ9Rzr4o03Am+oQghuEpGkwcC4tx3ZbaGjjJdaUZe6Ep
1/gmAluJ7vXMfupci82OeuaJSEImTsSQXSxdv1kYcOPR/0KzltOTpkHW9dkaO4CfQT1xuha8AVM+
eMxHB+9l22Q564AlYEsi2BLRpqeuwqxWuZz79r5IvGwd6t17B3lBb6YHpXu3Br6Jo+1sDBMfkh9i
9ixWXigoYtNhVpS1Os7OvRON07ZpWt1PI1IkLLfu62NmGI9FZZJQsIAvGEsi7/KUc2uVVWaNThEj
2rafq9Z3c+oy1yjus6bbgFl5FCK/hxD1pBatcaUO1nLigdds2rx5aXRtH7fGlyl0LwmeO3o56dI4
URKctqTIJc3o+kqaJ5tiKbxbk6y3i6iIb5IoemXboPgiG/KzlkaRYrNHA1AyZzb7+KnUuYoivk2S
Kg08QzkMY/c4kNHEmNEoNqHUddT8fDhcePYQ/MUZMCi5HXRDvVwqPfhbO2VkO4PnXEct2Afu8u4h
9LohMHun2HE3u0GT94Fpj+Nu1HqxZTJF5iFaW0SJaky1hx896pnYM4KzdiL3tB21LCFl/XVnIje1
tW06ygJVCWGOsENabO2WUvux1aabyGrtPZqrR6m+XZnREh7/+rH7n+tvFakLgAebXge55Q9Pdjsf
atRszXCqXKIUtMvUvbX5qS26hfTvtADfVxFy1U6nR8SqhuTPYfkqu65v9BNdV029LjpxcsN1mN03
8yZW/mad/3dvIf/8m7cAN5DnYsjFqebGBH6zisdns77568/sp2/i0Wg61Faknf/wJl2cZVNaCnEy
2tumOp8UkBz7v36L/7wsUi/5x1tIicg3v0fPBDcC1SpOpntTNJsFuCpVSOm8pPPfvBNL8G9a3d8u
yjfvJH+Sb94pj0ersHt+mWZeVlrJqko/DAWDEwTdoKaXv9Gc/Ke2RXNRdIKpUw0DgoX8cb55ux5U
9tL2mqADetR6WLT2bRSfzcW/vcavoxcNieqfj172Rf3eJi/5T3oNXve119BoKKSAyvttwsJ9+HX6
otm/wEvXHA6Dz/itPxxIBg2KYTgqxT8vxLjESfHVgaRDGwUQglaXLoFdyz9SU6DO+O4rSSwH6SGW
jv+JU0m2HT+cE9DtwQwqzXwxGWz4N1oGKAX2JcrWD3VZSotSC8wTT3eDbeyyq+wsEzD4p5QTzMad
E+rMSF3irHatNjozrl39LSKs1Cer4wUZ7U0WZsVpzpBSNoutbwwLIDCNVHdR2fZHXLs8cQu94G6Q
GvVhACLREaXU4z4AX6xZ5wtzyr1SwhleoZMrZ3+yUUykadQea9AsPE28c/bW2ZlnJ2XQ1WLeINyt
V32TYXZEouqjiGUTj2rkaI7zIbOSc7fqw7MiybNNpnhMVBkukQyp23iTIaltJo8kB6PnMdxQ4/la
5tRBM/FEbNwBxaSpPOWc3rU9lQcnHm41O1YpdpiPM4ev/ciblWOb2m+i5EHfVI62xR7zsaTpM8P2
roD8pRV7EUL1qM10vmPHFLIUji8iIB77IU7f+2jRnyh72b+jCNmMdt4ETpeT3sX0AEyGV3pnoxJq
a1uoysGsJ/XcQiy9TVDLrqJ2sM9bxwG+GqU3dEJ7Ec+3pKyXq8rEkaO61ZVjsyxE4QuWQzVtylO6
uCVj72GqghkVUNVzLR6kuaSNraexJuYxVI0MB8us9Vt8wzNl8tK2dnsZc+1GLO3JxUywKbKKiPSB
Bo6FKkiL9RTQF3iJUHswObH2dT/rt4o+5MkeY89yaMfSu0zGGQJdtbgsJCBGGeGlx26C3QBWk1Hz
snMdmYYWFcuNibdqCj5v2n+VYBq38p+fXmdJGXU/Obp40e9HF/gjx7QAGGs2Wgd5NHw9ukgiJNWD
oa3pkDokH8pfdWD2L3DeXddx8OnZn/Di308ukMcSdezoHIWkqDv/aG7syGLpjwkGY2Nsnfx7MBZh
SiBT+3GCERo9cmQyVkj9Mto75FCgf/xyLrQghq/jrFzGnQlW58x4hBk/Md4V+ZWqGIAQDIKI22Tq
E793VIJRZtfumn1RtcQ1OKOBxc3qoBB3XXjARMOiscqrJbuqEHzVCL9sLX6ehN7TghnH2S6bwJQq
scWZUOw08Ss+Nix0UkvGAR8TJKf4EzIzhg6ZX+jZjPOwu4m18LH+FKUBCGTfnn+K1TLiuPxCKtiw
kaFfIdPMmWy/Gua+vDCVGR90nIISS8INQCSBiwqvQViO9atO7FmERd/v7SL0tbrcdBO9dFWkuyZV
dgk4JrJuwbQbbbrNiYoN2I7eJZHypl/U5XxRmVlAUCwfT77QEuXhrda4V0Wlrr2ZvKHlSuvtOzF2
D2T9rE2UEd7/TULo/0PAOLfHn9+I5y/Z+0/uQ17z9T7U4RMzwWOF47Iq+XQq/34fGvibTW4orC6/
JYJ+vRFxKjOkVB0o9DDKPu/RryWE+4stAxkcgKEy7QsZ5z8YVxIa9uOdKM8A7kaX4Sxu1x+lzTw8
QVk3pXWZjXl0RlhME95MUwYS19YJqBEmwJLZwT0CECkAAJLvzZbhjjUo1i4LmUcVs04RLFQexWkO
jlEa3laYs5nRoS9wLYZ1IsXSR37RQfFS0KEL8v8pVzfEKvPEQ0fnLe67lY40lzNiTkzAC2uHODor
wRGRZ7BRPvlEklSEwYRnD+yiXFKMOskzEuzzcwBHC0MJoUfXjSQfqZKBBOFixMzW7vpFO3qd9462
E9CZe0mY6J4e7wZ54FYBq6RIvlIZVmcNwKVWkpcAiT3mWOFckEwFaCai4KcVFVi8MiW3SQPghIJl
b7j1OlXDJ2RIL4MkPc0j6X1ZD/0JwSdMJYBQhiRDtS1SAAdYVCOpUVmrs6bJjw2rd7QO0UUDYKoF
NNUv5UcvyVNeT+RpJQRJkPWB0BbHLyoYHeCqyG1i7Qy/ylsILczY3Ts1bCvDmQ8LsCu3ja9mSb+K
+3Q/SB5WI8lY3swxKFlZtaRmpeCzdNE8ZeC0QEZVvmW0yyaa8RJGdfxGKmHrz1hCg1KbtzZgrlwS
ukB0HkvJ7BKS3gUJ4b4OY5OohI9B8r3sDNIX1QMVmUVevKN9KJIGxpz8spF8sEWSwkanuXUlO0wB
IpYBE8uxsngjfmtzrPxU8sasqMxWk2SQzeVycIGSOZJOlkpOGfOIJxNwGRrZ50ldrhrGDlQVT6JG
NtWCOsOthURRZN4aP9GxcOZd1sFFaz8JaaDSJslMUzSLAqWONik4tVly1VC8bxxAazOuBqy5LUor
gNfd60iDdj5ZFgVTIRdAPcP4PBByLcTvj150lrsiwhfZG40sQJ1V7zooR4ka4krpDiO2JuTFmfzE
Sa0HqRYi0Wf7sfEUxEP4vcHooW2Od/OoXi7cDFezmzrbTHHFVc18jchX/WAYqeEjr1kZDa9Zklq5
TKOIDKNJrdYG37ZVazUGpCBtZp9lJNOeeaNFOEiVHFx3WrbOaIk1MqeeAT5KUHUcNwItlKtGl8jX
GJfo2oVBAusKstQVK10y3fL02Nh1stK1B+Fa801LTvdTCfhppTewRA1KOS1s67Xb84VsbSNDURKt
RrPnQVXWxJTCkYFwgpG70MFxOCWGI00M4xHZJW6gyls5ynyR6Wj+PCalAzU0FmFGiHrSvbaDstVQ
Aq9GIlVKG7evabkHxTWsgxblblDVKVQ1RvrPusNYGx22IM9qtFemfFCWsYMaDKTSRiH321/6RX1r
NP0xLYpw44FPWYtWuNtywVOVZbm1rQo4pB1kKkIGmmql6fL6hnaxWszwrPHibS7EMeGOAow8HFKv
vYoFv7WqWMT/Vmca+fFJAX2x8lCJpEt7QUPv+lOMss9wB64QEV4ouDYI2OdNURZXsZWYQSulochp
z9xoiFaiVreJlT0hItoOSnezZOOIn6VlxYKFibjxi25o2Y0PGK8R4G3Dut7ZQ/cRGWEcWDw8gloB
eawx4dQv3Km4Lbo0P/fi8VTyidI9JN66qKyWGkeFKNE/UPpg1auBTbjvU6VrzI2LQ5+JaR1p0xbQ
/a+zoH9LdeN/2Tuz7biNpOu+yvcC8AIS8+VfBdRcLM6UeINFiiTmeUw8/b8htdySPPTyvW/adtsk
RRLIyIg4Zx82kH99Q7h7+dKQcFB0f2LcWD7y93vCwiKHJfJ7zf/hvo4GBCEHDoz/3Ab+e2GHU65j
fGLpyF8Q71Hd/3tP+MYk1U2CvR1kIv/kniAWycjPN3aaAjCn4FPIbmKS98s4itVM0c7lNF4mivza
6ONqow9R4i9bityeuk2rpKieUK8Pn8ckP1acu1uLeQSoXQg+gQQijJtCuw1Dy1ccM0dTVABdxGZx
VLv5xQzEfOX2HQynuvXtJF22+sGd3ivWuRiATsiBEXiFAeGKwamfhNFjh79iRD63iV3nAEzsYDTa
RzrJxzHKEVOn1J0GPIrYubgsVm4CGQJmWUUWJ1OMWeqZN6lGS8tPqB3SlvfENh5GS3lOB+V9HCLa
djSe62mU2ELK/K3O8YWmqoJDcugR0gMJGpdxyuBarzLiAo4ZT1tn9kCCcN/FXi/Lxygvb4QV+laJ
9suWrDfrvhsYkG/7ED/kHi7lLYq0M9qY95mBgyyuLa0aUTWmV4Q8b1jyPOW1DsAt+BIV5v0AvxIA
2IcMgcfGmbhxGilJq0QcNoTtQ6l0AvpLB78yizICTrMJ6yZkhcZCJYku3WMVauxaR03WesY2jRQE
G9YKUYZ5jCG2DRLXB4oAkw88dopHc5Ur+rbvleTWxPfqTSKjPkpWNlqMtdYsFf3MVgUkQzmyc0Oj
fJiVhp33lK0MpVS3/dTu0QXEOGspesaCUu6/UpUL4H3hWbRz/pS0puIy7akrfnwEIk+6BXuW/scv
TOeDBe9uioZL1C1+5rzt7HMXdK373Jhz/JZnJW5wV8tc+iot2Jgtwx1bJZAdVkW/DoUsNpUx4qCb
RfzgjM5j08UTekD3OQWFh0IEXetoJMJTqp6qL517txjRYZsIP4J+myGkZjimPSg98IUeXbs/BXOx
HcYivCXQumbLJIpLu2iAVX6WOnqdifCNe54ATM2Gza2mzqbrQpasvvuxYk86vLZcHo82xW9tJdE7
YNsJtSu1OyYzVHFKGCJqj2ZFQQVru12/a/qg2YnGyu5qq84uQ2kX96mQMG/AXEH3AlztdF7XWcpq
7ucO049J8hn3qD5QECHofUnOrryMnRus6bdRaKal65uxGI8dA0uiHwPr0EmEf0G1riMw3dJgHcpy
CH8K6aWhgQJTTIayVxR3fOY6M6K+rQMvdroCZGuZfkl1s91l/chFr3aI2YoAhM2d4zedO1Pr5gqF
uEnlHHUtOEWh7pydQUI0tDHJZwouVUD1HiawZjOpzuR1aGDPijNTl5lqrlJzmv1/R0ffRDYsJv66
Hp3K9v/+XxG+Z+9/NkDiQ78XpCUZi5pDfycYHPzkJMRkCOnaMY1vYNJFgvO9cTV+oxZRx1hd0FIu
3envBQlSN7oYzIko7GF2E3j4DxpXOuqfyhGAL3URwZDu49Kqqcu//2E7koDkccbCTa763J9NG87g
1qiffvjBXH8bR/0djGJpsiGfmuCVNdNgzm/+svKpAdSRf2UmV12ZxJlXOiqQTBdl3zqABOonegsw
m6YBGoZTIJGPknU2B8eBvu5WraKbLHa2wozi06iqNKWaYq412NKrTIvVtRoS4yPyfT9E53hwd1Wv
ndR5vGmlONdzeZwa/ULe10FNUrbFAzK3RK3djb0QmDBYS2jQ7hukAMBfac6/7IBPoEr7iMniwudn
oUPkBHNdmgy5mmyOWIkZ0TqMypxvg3GyvU4BuZi4AupAP5dItruCjYEwHgPdtbd2ZurPIscLqbCi
2sZqGll+1NdV5peyTp9K8A8o+jHt7UIX781e0xFUc2V3rizZSu6Q2IfQ9zkRlCe90p3HWdSAJGuR
bRtltsytVo7sxteVxr2jXvdm3kkSTSZTuQDgUM58/soj42CVLoKBcsmg5RrrWRyGWJoIQWtsJ97p
mZEe+qm2nGu+Xqs/mzKE1yRkSUAsspzb0m7M6TrSEHzWoXSPbmPZB0Ql4Wf2O8bTYIPddDLJgLor
emPvlPSla25A47xzCKmEVTm27kNZOpg8SRTz8R4anqimCDA1psQ6DOV+EObA7aWHac7P/ISVpn1p
mWBMErG1nByxcut4r6Du8G0NYypBtuMtCqFDAkDVd0vNvQ2lCUAgwdHnSDfalFWOEyA1PBCKpL3F
T05uDid+dYNn1cSQNx0TylbQME3ZFB+suY98m15s23WZti7cwLhqowFzgqzbraUPu9Eo0LJMor3h
RNcIXczPIJ/PeHsIjmriG6M090RYET5iZTvwLakX6up16453nWYPDygcnA9kVQxdUs8aJ+ujjHvP
zOHLB7V2ryr9JrS6jSLK1HcVsrsdWqGJlrC1qre27d6LuHmXiXxknsllYDi4U77hAGGdNG/JfjhL
Z/AIHd4RqneaUQ2FzfCqmj2zEWWTkfKgQ4VrevkF1SdRjl8Ctde80cp0gi25Wqbm8Nm04tdstgzf
atP2QFsMlmmcT3B793oozhbMYdBsnyt+fW3H7a9wbJ8knU0onF2vzsQ3t36YB0D81HoFqB7hVVuo
e0TNiadJuizbvuZ7vDXJmvCmeA4ZggTYgwY1PhPfjCEiEDddRuEinesYiomHGa9fVk8UsMDmKcvl
0eUlUktAX27jTRgSnUo/GVP5BP19nZr2XS/Cm6KuTjb/PAj3lPfDTeQyghGVLwIcuWE4AfkgISeJ
oOL3TVmuw0a9SpX0uUy154p87LhNj2XmHJJeu5lHzcvwUpVZdiZUel1ntTzOtk08KQMqB2dgndq7
3jU9t6Hdjwi3kfN4cMpZ7uuZABO8rQRBBzbcuSLzZAhK05z0dFu71TZoEerMUqk3f3/y/slmU3Pw
m39VbLIH5K8/n++R1PJWAj27KutU+KRxAPkdoEoDpslOXa6Pnk26V1hGOZve+V2r6vamrlP13pkd
8lym6bZvkpM6BV7q2k/q1AHKsz6KNAkJlEcvFiaYXRlbbcqZZzoLoKsFZrseQcHRsAzCs51uhxvn
FYdyv46T9lGwbfXRrehrjah12FrrsV63016rUsY+QbHVkmYrjAFeCeEDuf0ms/wO+eKhx6k2t9mh
7pENV+XJaQWw4lFivpDxTkyRuYaVQnw6Lo4I6nVIXfJatb01ZK+tq8g6qJHLe006IlJGDUlTMz0k
MWlwrsVcTUhxMWJYM7VlsV+N0/NQzVdRm+zT0dya6KxoFGpysFOS6x0cgbkTbhQM5GZYnbIQU6Bd
iEucjUeQnTvqGorGCpNtKVtSuJtLmmS3iFSY7dCGeRbEyLVekX/aNNcxt10vn5nENk3yYEAGxyEe
v7g4f2Pu1cyuKij88yZN68UUudWqHFqb9jnJJSEWFtJyYzdyDult+Va69kmtsTGFrvIWaDAfK3Kl
mHAAt8xyba9Uy1nWnWLb+iRUeI0qYElsW59lLjTSD2TqA+S86LOpeRgPFs974uzwVfaPJYSgIyuU
5pyVY/4/VCG/9sVcESwkZ3AVsNk6kEd/flCZ9oxTQ2bEVdDHnp4cGoDof/8y/Lwr41MCg9QY0NM+
Lts57ZddmW6xyHfcMLzKLPi51iXu411c3TYjTPSGgAkw7G7y7XL8l2AVdg0/XbD++FWX7/uHC1Zf
pV1l6IpyVmVxhwaBLQB/Q1X8ROCxXMGvTtadYz5Zgb4fSMKDcIXCPyvGxdwZl+uimT+Vin2KO8Dx
KEY3mTtqr05k2F6uJg+Wk49emMqjnRmfrSCdDlqmWz1PU1H6/WwXvlMpgOYr9Gx2IeW+n2z9tSwg
7rAd0P04jr9kPKt+rVqRxwksPdCX6nro3bveyGYmqOkDI0Gxz0NE0bJ7Y9q2oyjdt02zsdoRUpIJ
lluNFCb43FCysSi2cu7VdY1J1mtGE8d5PN2KqEAZEA+oCUJrhWXryEP/Ubcj/Moq3jcGTKHRuJ9m
xJVqejA7vFrN4kmIA2K+kg6kmNWb+3ROjozcvUIGwtMzFalkkHLKqk+DylghTvKzA4q+aEZ/CGae
YNVPuzBfQynzyiR3QEEmoLyz4FzhXcfhsNNKi1DDcLqL6CFXuF5oOUE06HoHqN/utuBaEWb05YsV
1udGzW9q4l+bburoqA6Dib1tMHXQyw4nIv1tIWmzA9zVQ9NfVRY1Eh7EvmmMd4fGFsYgemrT2IaV
cbLH/wBd/vpx+1/POB3Fj0/bCMh3ENhjzsmpuA6vlE19rB/Beu2BmZ0cSs/6ixhXTH/PUNSPf/9+
LUkKP/QS3x911r1sygVhQMsf7odHnfxXh3QOQzlXHjzPk1hXG7pv7ag82RsoNw8XZX16GnwgTsML
/5NdyZO6OsSb4EqHb/M//jQ/Nzbf/jA6+CamdhZt1K/oJKmOLA+0JLqK1GssUGAUnpph9/ff8c9n
1h+/xi8wv7nJeyWKCKss6/ewAYx28/ef/0+/B5tlos3ckWncL7/NfLJmths1xVu5rkGsNSZ3zm8n
1L/j5MUy8tft+/kFT8GfbJz5oO+N+9eNM9IPihLtOxurHybJbJwFXj0mLewIUYX8t3GHGwTbiT4f
UcZ/9tTfJ8n2b4udxaCjpwIZNMP/pHFnffzT64b2A3WJi/hNoE5xNT7hz6+bw2wAVoA6X/Q8eqx1
8vAySgs2WVC72kwOX21tNQzyplQoKu4jAmFWVj0q9Ny17hPHOOtlt8+TxEfsHLSebcN98WNuww9Z
6Wp+KdSbUCEkshvjEFAFyOdXxpY5fnCNkfXRDgZYjmahMpHK7GTXdtyqc0KpblQWV7iUrbsxXc5W
0CuuiT1+KnSvimYoeFN5L6XyiLr5QS/NfqUKNjtqM+4tRV6i2DlouENgeXxpIAKZaTGuwkS9rRJx
7TrKoxjawos61sRBt9zSmGf2QfEhG1KFIqFtiMQLPdFQ3UwxXbpGe6mzZPLMQQevVUZv9ZjPXqfS
criT44dqBwugJEYytS07qLCuy/04lcqaFd9R6+2LnhIapkXHubfXqhbZrCgjehoxHJuheopU97PC
fJLeV78heNTvTBTo8cw2L5kfumbcDL1WXWnB6OdV+SFUjdIQ37pAsOnx81MV5nstl49p2x+VcvhQ
G1N6qiLtNcsK8gDBoa8UJe1Wepbu6lZhnhhZa/zhwgsEFcXk2L0IWcn1zDRhPXQjEn5yQ7vFRVkm
NMk5lGffSdN5XZAKxarA/hLJ8FDobKW7AGclcKV14Yi9a+m7vm8uQYYoTucucEYYWVfw/6w+33Ym
NpMV/IW93jXrtjXP3YS6UC+FWEMH3xhq8JqiJk+zCYBPPwGJnl5Ci+QVPifxdUus8WJ/idgvRrry
ojYYu5oB2I6W0gygK0AgyTiTH6zvqGB8RB9Zp2zUcXAUzV1E1OGV6HL2hCJkGmC7iTc3/Q78LgN3
KzP8bLA9J8+1LXfrbpPx/F/1DI5sxdgrdfvIQG2n9uJxHDptHUat6nWt0Kg9IjlVBeLO0CUZPTJR
IAcDDKJiAjuBuWkJctbUq2rSxQ2GI3sXpwN4+Yr7SnjIU7j0Uy1eKEMmG2kZX2wdlJtrGhvp5Ju+
a0eaXqIRzLF4lW25EUP8qQzxyrpYLMKI32eSyexigH5nkL794VD7k9HbLxVkif/jtGFfoiM5W6aG
P58RlT5hjVVc7ZLlD6nxBqfyf17c/+RLuK6NCE7ljIQ38kuRklU4tUlsEdrXvvbptazuC/f09bv4
t0YZ/LD+ukbdvRTdy/+tm37+Y6FaPvL3QqUtKifkT9QDwtOX8KnfpVGopghTX6avtDwWasPfJ8z2
bwJ1IrIRGwQhOsIfVp4WXnnVZBzMwNDA3f6PJswkZv1aqL4a2ylGqKyXCKxfCpVLQ26FjlNdiiku
N5q0ICwKlmDZVDzFje4ALWuWdFbO8Sy10dSa3b42tY+hVOFd5Pl4GDNOiTyCotSp/S4sQ9/k58F2
DxRLWfSk94AJT+zkdQzwKGsDJsChYKeUdUPh27nJzbeS7nVU5w9m4zSreiTPFaPPSabyIQwRCanx
U5Do93keFxdyX5U1ocQj9BybaCbIroc8i54CA7R/irLDSfERTL14x0HKuE4o431Ruzv0ZsekIixQ
ncg/bickVKx5yyrbZ0p9NWBxDAlmMdUWOKs5nXJ7OdRQEjSyJIEHglvY6WTMudE6CNsvkkUiW6Nw
wNcmm7UeB9swru/YIG2iyUDaZDCdbpp4P2T2s7aUJcx0V0O4cPbncB9M9Ddg0HdRGWvelPYR0UPL
bnW+DYBn7ExF40fTx8MxiynJuRleuVV8wP5I/ESW+XOnvCVJ5q7iuiYEoIy34zzGpGRiiFcGLHQa
mKfFcLbpM+daDwscYZyrXARQnXf6bVLZrC/fhFN+4PH2kW5OfKqFdqK1L1EP1bgNsGsZdkd8LowZ
fZGioJtHZTqwv80MJjmy3Tmle4vttbyuc+1cT8nkq7VW+bFZtp7gGd7OQtwbMwbKdHA9RzEfkHG6
h3pIdqnNyMaqgyu1rYa1E6Qb1hDHtuyux6D0ugwQ/FhsyolUZZg2T67RGttiEu46WIyZboYJJrbP
spafRJlvjAJfzyirfa4Pt0OroMKZx3e+8uRPevaOIEu7sN0maUiT1wxs2TWn0dntleCE+OYVXhzT
rUYT+zgsrOdIyW2/thkX+rIglVedN2YKK6mBlnMVDop9qMKyvSHfGGW5LcMOzVKFgNy0nDenckYa
T31FDiqWPJIqIR9Lk1GeHjSfXbjHa0MSTowu2K9Jhqj6dNeMOHF7kx+xQyabkkfzg16VSN2FHBlD
2XcUy2Onyfclr9LTUvM2I+DxaIESY1J+tdgbNDcpfMJWCSVuo7dkrtx9V9pv08IP05255X7ltrgL
25sORy4v4jnARuHZzVgdWB2wGLeVFTFMfljO+GNDp1+RZsZHTAMIojGUm0QLPrIK8F8jMbvlnXoZ
or5cWz1auWDOjrUoVH9WrZoQxtlToMhASTqMiWg96EyfE/hg0LO67hThez3rY2O+k1GW3pcqxTob
HKksjC5cbf9Wp68L0GWW9dfVaemgqvLPIoeXj/temzQ4KYsUh9qEjB6Q8g+1Cfk84IFvzRVOwB9L
E3p2DVaqg0Lm64bz9+Wn/ZvmACdjVwmNxRbWPypNXyEHP4wsKHIUQAaDFCadTSz3l5/vR0mjpMKe
RXTJVTRq50hAzZg0NXJgDxVFeF0qo3mY+9p6tiJjpMVXCoSZsMegUc92++hGRnnnurE5L+qAEXxQ
YXdPrU5UcL/gKn0rSpAFxsrjJLgaTyGPfiZEuhaTde04xbYnYrsfsKRl8mUM5xcRETfOuMxqHXJu
LHUrsjzmeo8ETkstfxqgASjNgVkVbp4W0SPrHaQ3qnxJ64bhGoq8FauPBbIEVEQyxF+TCLXgkaYF
kUcCSu/ujbBpVsOINTq3bo3BvM3BuHupzqw9mK5mpwk9d6BrKuq7ShfPkYNasSTmZ1MUSQ9kbwYt
G7vEtw0lp7Rh3iaWfSIt+ZPIMRNZRXbC9Hzso7Rf1YGA0tfaHDVNiKBzrJx1Nae3Q109kL1YnfWG
1x9Cp0b4DLraBmQAxMNFipmheu101oNTEWYnzla8BdUn2GbDutWA7vdq8z63jaQkL5Edbb/LYN+r
br7TUhQdtp1syJJZY9Um2lYIgo0RIkcJPwPyO8Z1ODjmLi74O4OE9VXhlo9FlL7ZLngHA2N+lX3R
0ujeKkGZdl1inKCj7pGM3sTVAtgxbcp0XgarEKdRyOafDse4jSzr3mjwFTFZfLPK4og86raSDosr
FahnUdjgFYcyobBPxyLW1p06otkti20WK+yjjB4qJ0l4aEgfE6tlT2CN8UabYt+qujtYkUCiR3rU
SHU2Rm0PV/3CPrRl63SIc/ddahF6n5sTeSv9zTzQaZl6dFXg74bjBbozkf1DI5PXYBiZCEZNvzIN
dQMG6ImL5SebvCxBu0weNkuH5Y+hDreKdDZ1MF+yFIptLDZucM3DWl5BCjtlbno9S+s5ttx8U2Cc
3jRTjE/dTbu9WklEMTx2mpmcSlHSmjX8wRXnSbEjIg5MbhMauaZrpVmM9emVWeUXYLNHeB3XQ+vU
pCCgZw5tY6Po9TOMG2Cv4iEn1ZC4YArkYF1kDB8TXetRcVliDTWjjaC9R/j7Ct3z3Fj9uwjye6RO
ey7Jp2QAs69CsCQZ0SXnp+T3ECT5W6aNvGJziFtmytB/FtaFb95adWP0qW4Q4GtqfhGBds3gdlO7
6auikIpMJsbKjpCJ5np+vdhnT4XOUCTviqfIYlhHUydWilpkRwXL89pcWG4B9oW1necvYxAQaCWz
G60NPmXAS9c6Q3i2AcbOdeZTVnTnXuM63BMMZuUvzDqgB/JFR3GTEB+WBXDkwKG1XGIMePp6hYsP
+si5Z/IErs8pNjItPEMQ7spBu5JmdEATqB9j5HY3LciG9jAN2rKiLIBZCp0kDrdmZ5w4T33OVS4s
c1LCa/Z1mzpTuy1LRHZSRVl61WSI60kaByaT2lXEi7Xmd27iFKZvNoeGX05nT09zja4LvVd2TIzE
3Hb8CPwxU7Kdhlx5hcnSJtWT8C91NVhdtOsUEpcIbeJLy0rVNkoSpP+W6W8GXUFT9zdl+r358v72
xwZy+ajvRRojG1dl5h//7RJ/byC134RB7YZMiE/mawrgd4kSuiYKqr2YxplDfp2Pfp90Wr9hXtVt
CqvO27qY5v6BRIkowD80kDjsBFp/RhiCevJLldYVMQLiSNOLphpdc4DfXJFjN+SGAjoqtRmsfSVA
9nVS32h26vWogRjO76b9Xg2IPwY9G7FnSkBJRgtTsgIuCTGgOaoTvKtPARZxnlpkfhL50hrQ2oVJ
VOKZCWnIlTDZDeJ3A599mZRsWLm2eCFZE5Zpkx4rdb4uLPJG7KB5BHK7haMwb3pnepzV8c2iCSLk
gE+gz9UunExmgQ4hcq17gy+dBrcRfp7kHDUaHNdq7FJSa/JrotkoA6pEyTBpF3SMNwTyLCxUJOeh
RbDt1Di7wULXn6fjLrDEZ6NCbzCWsidIjFFqWdaDzwgq2VV6ji4GgQ/HXWD5eR196tO68woTUnWI
LRkII++bvrx5/deXcFzeR4ZtvJr119cUzyq6p+XdjSKVyIvlfW6XNxu7U3hrL2+7tbz35XICYLcz
L/FyKoQa54PkoKiXEwNuGs7g5RSxapZqMFTaTfT1kBmW80Zw8ATLCVQsZxFeEnbUy/nEhJGjKllO
rWA5v5yqoQHJXdmG/BmKOj4YtmJpezdFNr0RcMbBiKTaq1brhofcdmXXSXKOhh4FJybrjnllhPli
4VpsVDO/MTAhkHEiiZxFKvyelf1T3aanUlVDD1byNutS4k1M89y4yrlFlAOoKfbMKrudouJQieaz
UNJTMiKuqkV+r8O99mFGfzGqGuK1fUX+Wt/hIbLTazORsfAxMekYaswomc94S4uVSsZhWuFY1I0h
2Kcy2vc5OFqINgWaL+H4+Rx+macRgyOJZYBrSAMvl0pqugWNXmN+AdDfLGU8BXjatZ4eTX6vdWRe
M9qYusnDNGl6TJETcFQYSrCFXWEsB4SsmuUOoxoxQZgZp5j/EsfOKtJc35YVrE4Vt3RmQhZ0ZmOA
cBMPnjqpV7Y5slRtIFDLCn2QqnZHi/CQNfNh4cdZq6zUXDxbkwatTpZ3YJvilSsxQgdFa9MBovyL
F2uWarir1rbf8yB8y0ouqrxd6y6RCDOU5Lo3mfrLQfgacmAwnTL3S61JUJCP7sbh0Vc1A2KL2nQ4
3cyOC4tCYzmyAbbL9FC0XXn/b5v3tc1bsi3+un7cldysX/5YP5aP+r1+LN7Mv9yUmVQBfBesxLBl
/NDlOUwZqS2uYWsGM+rlE36vH85vIBmwYTD0Zp6Jb/Of1A/DWfaw/3VJM8vkUbJxiDog63QUJr8o
P9ICNksKCfoidLOJ4IXPzNNQSXxpEg5MA72nmgfpTglImE809zHo8FwFDc4FPNyvXZ7d2fnoYmYW
Xt91aHaq+LVX1H071KdUScJ1Q9ol060BzR8QrlTXnnnqOaFgzxzzut5jDiPNPb7onbLPI/fcoiTV
mtZlb5XU60Eiz0aHuyvixJ9HTF6ksHajVa5LZb5O0WmuQbvdCr377DJEWbMQu4FOoK1KxApKFDcg
09mnYw/ZhIF1BBSXxfJ5DBeijpnctg0rngY4mZabx1wlHyJBeC8hLp/VymDdRsw8L9NxNiuGlP3R
aYO3ykXpI6xnEkXSG8hm8MmK4DxCOKL9Uz4zWvFbR2gvjC4X94bj0Yg9Qvx8C21EFGOl1wSEZA+T
rbwRYcQ3gq9gWe7ILCSVi+8hUNMz4U8vbVK2myGgtxglFORI1Oa2oNEKSO6iI8wfZBVc2n58BhmD
gNXGRujU285AOebmOaYRR9s4FIM6wHkrON4WuWk/aupazi4tlLvpRxO2TLRVO4fG0UluCgjp66EA
Vt3OpxEPh09H9SmOTEjeok4wekAKavEgpmn3yZzHI06aZkWI+UfpNGf2tOEpSpmWkhrhFR3J6y1H
vNaJXRtw7W/r8F5kDe1PFK/B8buH0eLuK6zorQjtuzCQW9SuEx6y/MAOT1v1uvI+4R+b8ZFZ+Mn4
/3bFYjAzBsdhCYvpLEq6a4jO2NDwo1knwlbgs9m5Z/E+eaTYRp6Ngy3X6l2Co80a6oi0B0xu/Idn
ra/9qgRjoS5GuAFHHCTWbYJDzpDaFsI1/iDHPH7NV+jK0qBHzW/6xWBHIdwYi+UOQrQvIyYQDFGc
dYovD3waqtTFqifw7Am8eymtUeYucRN4E4x0PCSLzS9q5FWD70/F/9cx1l/BcbPlFzLymifyE3Qv
Cl00OTTK9q1Y0mrRdja5cqNWbn1Lsmeebel9N52uwigBJ9CL4CMNp/fAJJAw4l5VqLV9sIvpEXL7
a5ci46tKyB6hu1Wi9EZj9O7QDq+xqdC42Mxo7AEVn0oYn9ldaUie+eYqBrGMJvUp2ZXdZPhMYEa8
FDYjHWL41sh/vK6cNrolXyjIXg3BzgkcX3XlA79otJ8JcMdYORV1tI1SZc8kASU5K8Yk81wl2KHS
Q8VLWO/kQEI3ZqJZuietbmhnJXtqwI8DUkLQMsnJjtngdikq58nejq61yqucX8hjB61ATj33ypHl
c7+PFSL6UnTIEt1wFLuf2OKnbAOi01ARnzjXsbuZcovtcVrs3Fq90jv3SzvCPSEDT04A8lMDTHwl
zziJ9mOz6G/IzkFZNfK7XVI3+l3fNl/6Zrgwy/baxLhX4xBim2ygzNoYRM3CN1LeQtWhT5w0d4O9
5M7sg/eascXKHfJ954bOurWHnRba01qpzZ1Bpxyo83CMEDUmMWsZB0FYZPTn0S6O3J7hMJIQb4TO
54zVdwcVlkUB+xF169r9dWwNT6qo9oExbYAF2j6SSs6/qVBWlVXe6r3breO5uRgqWvEw2RHKvFz1
rwJrhpq13NC6JRLnANiTW6i5YA2lN89iY1mNryvanpjpAVpwMXMK68Dau6NazEuoIABBhsd1pb5m
QStWneif9Zgby4jlgdFCeE2g16oKwxttdk6uIwl9nJV4YyEAVtEzY+riOlWFiU+kgIuI2oSDEU3X
eqZs0kxeC9f5IPZ3U+To9K3Ob3F2bxBaIo0FHSO76rqznYcp7sk+NE3CG3MT5mAisk8pueleWA0f
CeqBaFIfs77Yk21zilxidUEV3vaz8ETcfJih9PtFiIAyGQzn/JBqYmnY00dOYL8lgadRgpK4JtQM
VvM01dNxXGQObZ/bbAgcxlLRUaCEiCbzEqKMwKHMMY5WIqjZDKy0oJbGzmrb9JHM45ElglLQx8+I
KxxUFpkK7MbExwA6ZPYmVBjGVznGUE5ey8jJneeLtkg2uC6EXoiKY1rkHIFef9jdkK5Zlp9xgnFc
ygnxRxk/lahBEKPcGos8ZCiN1YRexHQEK0L3QMtyaa1pPy/CksbWmO+hNZnQnBC3cJ/F4EvHRY2S
xWxE5HgZFqGKMTt38yJdyRYRS7PIWcxF2GJ8lbh8VbvkX5UvP9yn/mRH/8f2Fg4MUiHURMy2cbP/
sh9ta2RDkhTXi3aXrz7RI17Xa5qctftyfwsh6hD75brbxSdzO3rRDnEzvv0dXc03rcC/W3bjb/cY
37bsq5fm9aX5s3vuz8sMfj24tQzuk7D4uEf+PidRf2O7rrJ/504LZp4r6Pc5ifkb+EHGJ2znnf8Y
wL7fcyGcWVhLHCA+xje+/D+Yk/ysRmSX4TLDYV/CWgSRs6X/csvVI00ZO5kbV1H+PLdX0/T5759T
4+s25L/36OUr2AIbG8o1qPdcfZd79g8Czz5ojS4wp/6qn01fiOpDVsZVFuBpbboPlptY8ZvYyw2M
srz9e4FSuKkTv7eJkbAUq9yWo74t7GantOp90kcbo63eFExcuDhOvYmfssU4v5qj7KIN5Mie9KGr
ocfmbTmuJsJlQn6ITFJxEG/0Us5sClRzz3sffIwmGz+EcBbtbmx7hhFnbxikgIhgPPWNFrRZo4bK
pyQDVuymxpc+wjfTcXavjTSqj4BKOPw052JXtuJnTvPJbULdR/zHAtUwRla6I/tpUXYbDWr0SjYF
2cjxcyrECVU349P8/7N3Hst1I8G2/ZUXd44O2AIwuBMAxxtS9OQEQUoUvPf4+regbnVLlERFx532
WEEdV6jKytx77ek40ILepnmxzfN29mq/uvGNdEPhjyYZzAQkuSdJHgwHzuLnLJEu2pFSoclmGka6
xTbeXpsx+RVyudPI2sUivc3Lbt9CY4YTM30YE6woM6CMYK49GO176pZnX2FW0rJLoff3uiR6bhs/
416tc0RbW+hnF9LMn+dsHcxImySgEWxus8o46nllIMToTyktF8HWW5fAaiam/YVO6RzN7Rag/GXt
o+BqZmIDI1KEOEOhXMZ7XdJvMEgljjoDzNBm/TrS8sINmzFcdVa0m2DfOkYM6NaPxQaWMeiEJfZY
BzQj1y6/BSbyvO3XITibkfuYrff3eqGRmmWcRQOqtp0vkoiJSubnNG+yjan3JxAOu2IadgF27pDQ
FTpBA5Pd4YiL7Voo5KK2cXqP5fVO8U0k9d26qMXemo21NNZPQm9LBx/tRtKax4IPr07ZuJGm+VPC
pG5ioFP7iEqS8VjiX2EGg3OJSTr/qcWhr5vMeoT5xFOwjqP4MfCXNg2ix7XUdSyb6vNUxFtrSRTU
yqeulh8lSb5uTFpeiR97KDBd2Uhf5sT/kGRIO5DgHZO4TgidI/JEl8ybcLbdiugpN4iCmCtp9mIr
dGckMgRWFvhocBTgtqNIMPwumX4b4jq29YeubDCiqLRuuOXy9MTDtazEB6kj5Eet0MobFUZGSTGu
RouBYTdBru2JB6e9pDUrO0WHqILS4h4jzkGrCsQV4k4GcAWk27deahujfcgBVjh9KTBnZHWPdDKb
JB/TY9RH57GOxLFC606523UAqUtuxFKSoCMpQk8PUYykXJdX7YwPPm994qPpFxCG0smHUhiLeYqa
qqoPbTtelHrZ7PIOEjk2SEYvatVs0TbFqyDqjkIJyMJJSkxCs7Hxx9lezeNyh9LTclWgO6AjGqUX
ZiqnDE+khhEYn9j3y4/GPN3VvvZsJtWW/e0UhwoHrMJQaUqlo5+oMtoAxXASYYyMh4rsGl0q7BeF
xMP7Lsmvhp5GIa1rPEIMEFWqiliHFqR0QFTyg1mZbIik8Sjm8CHvoI6X3JfYo/YBBOqU3I2Y/ls5
t0dUtJvQCE9yKt8nTGw1APeD7adIT5InPfYNp4lad7C4yCstlipfj8yXcpBUSspqiaBEvXqTKBmy
0kjbaNi96Swg9QmtOQE8H9Wn2UrOmlpuE7KmFapxN20ah5jx3JkHwAWKuVOZTq8CTdS7dOpvhVTe
AJ90uSN2KcUYBsgJqg3gcHKcB1kUT/nCGR8jCbsGkMepq1GY0hP06hLZX6Gh13CnhEK/j8N+k+vZ
tGHrRy9V8Qpql97kmRZ5WGfsfTfV8T6NA6AMhkAspFm7LsE3qxfmDZgdegd6vDR4VaDek+7DIUiq
G+FPN1ZuzEu2NTGEHR0Dg7m5Yw7jup1gT5UyEUZ4aQtm6wDx697oHuootdajNUVEwEVDyKkUtlu9
z/mJB5AbDCO5PBWPoi93OSPW0aQ8booLeTL3STXdyiA5ejIx6LGEt12q3lhdZWNDHftdIcW1V/jp
5JZdPDilLD9yvyQWcdSrh06QEFoWdMKTkIVuRh2CYl97UEe7vfZVY1xbHUPpmEyU1fvH81Il/nM4
fzEjgDqm1EDQZ2PBQGnx7eGsZpnQrCDOz+0yuhixfIjhw1A3v7EULljDn7wOsnhjcXr8WAS05pwl
QZifM5yQjVBv2ZUukd0+sV3WzjDZ/ABTuu3HEglusm3UkLBIlQl8fmCnOho+nQNm7KHfXYlKXmkh
Qgkb2FDgvyIZp+/PI0AlfhZyQLn2d+PyJ4X2T985NEb6jajvxVulqpF1RdTaSX4esHkH040c03Aq
/tSq/tKCY//ggllajZq9MGj4jljo3/8OTZcQoZAAaCrRGOMz03dawcYg+0DJ474n4kbqHwAqFR9y
rKuTLe8Ga9CdYirZqDRop3EGpXruPgBCs69zTqWuIAFLJs1BL3CFGTAOHaMIzhFAsdGnUTSoPDci
Q/c9LfI+ACPPCdmUShpEmxmQBO5SDOeIt7FCaR+lWl3jbCedV6sE/QhbcYtK28QhZBWOIkqbUOBY
VV+Brj2P5oKBREM+mulpQmbnmOYkbWVliE9yWEJ2GoG+BApKu9COTU+Jgju/U7KbajA4P5TgaGSl
sca73G6Fgier4IhTaNNNsZmsSlm9wKSJCXgeA/b79OjLz52+7gieYV98tCRQLuagbKdYpyNQh6u8
zDE0itrRyPWZdUqPkcfMI8Kg8EYp29YtzshMGfcoF56TSA0/TnCpkIxlnpmGJ7WYkSk21RrHJS5O
dbzKhEgxnCsOTsnxAOPtT57jL5eD8tP1sMhrWQ6wAREufb8efE0qMEjTboKg86zZTebNZZ+eBZJ0
h/30KWiMZJHUuYogzjNKibLV0hPfCjL0EEsxYp5Ti9xwmNWTUVgPmp6H6yYzqnWHgX6XGRglA/If
aIX2dKUKPduqHOoegbWVZ9US9QgbkZwVuRsZ1TXzntFVwgbRzdA1TlsuwWoks2bzx7oQzzbyXrdX
CtOtM/VWqBO1M10qjWQSUTQVnW4JHMIgHmJL7AZf/STMcQlzYBuARCfy8ca36WMBvqsK7VrgcJwZ
uHaTem30/SmJw+sqQm9kwjSa2gdMCTrh0uA1RdVRCzK1pNeLWNNAt6hhcJd9MkcVIT1LrAm3tLVH
RZMelLCvvKqdtVVoyut+RjkjjQWRFvVGluOdTYAhOn2M3b2nJ9j4LGs4mLghBqVvOOYXqk97ow3l
2bbGXVNMz9oA2Uyrn3NTrIyJ94kxPemTi4JQFzMX64G+aGhGsRuBWlLt6ENSSslusuZV0Uwrkfpe
VlLQIHPmXsLD2Ev2B7zrn+nW+6hzFs5TvG5bUhbANnsqiaGKIo6igQah4dax4PquGEm6NNiJNejC
o6SQxKwMsCGA0EjRpRHqxCBjHkikQ8YpjjVlaykpVGIEGkRCo+kiYFjh1Ez9Yd1yvOc1zaROqmIv
TaRNTADFTIvQtIkwGZRgcBuZTXemzxIriMIG65I0w22Q47cfqmNuGVS9bSpdpOWA0SE193owHHBK
VMyRCWHWSrRLg0wwSTmcpIZbQgoOUWNG15m56w+XwliZQB0G60x/U8AS1Le+2d+XsoR7Xz4JA+/4
6OtHzPfYAX3fP3Rqb7oNum7CxnCBD/3sldQN22JiqDkJc4tVhHkuLVpm7bDi/Vr5zdH2s537mydV
eyMzUEN7iu0y6c6Cc79vToTkuiNiZH+4SOqTwo3l/fOIAdf3Jyknxbev9+Y6rYZhzu2CnaEoXhXz
Uz9eEeeWBw+Qpd5/oYUW88MroZvQcWUCH9ON5WT85uI+NG1fxXKPtk+ZghUpNM2SZ3pjNEGxCwuJ
NTf2h7KMZId0EOVkLehMERPoNi9xiQP/L5I76TMAtQ+YuCx8S92dFBUXhWxep5Rv3HoI7FGXRMWR
mUiwztroKSfOQQrT8iroyIg0whAZkdEdDKZRFBarSZGR3vn+hjmAeW+r9nU5px6dlH2ntbtIUw9z
MO2M0r4YkuBQc2ybUnJI1JyHScLJChiwVO6zsmbm7O+GEpBDSlgR7qvnWZ4MNx2Cx2q063s1WOYU
jRb85lv9vt/yxTmB++6fL/WNtwYpNCgO3xrP1vgUzi+TtX//V/vd///m4JCllBoZa/c5sq7L2HYq
7fb9F/ihHmL9ffMBxJv1l4kskRM1mM6Gegn0CzfdSg4n9/0X+V678/VbwntCSaoY0LC/X3qj2Qxk
cvMpbNVV24/tkFGT3Eaj+ZtfQ/1+jX9pfwExIl1wcfgT+/PmhaY4QkQ+l+qZMuYjh5p3k659T1r1
TuTeO7lzvxNuf3y5itzwblw9p6vphSe62Wq79z/wl2nyd4X494/1lzf6zcNmw+Iv7YBtpF0jmHDl
1XjdbWBVru0VqXj1WtnwPa8Vt3ZkJ1wxmOpX+jn/+P67MJZu39t38c2P+xa5xJwitXDUTOeHcaeu
8B6s7UvTuWh0J/Q294Z7FF62sc/hetzCJdjekIW9Gbfse868ASoKZNDBLeJJx26bb5qLEKKJE3h3
hdOdma1ujJ29Kw7kHdxm6+v33/oSuPnuW39TQUtqE6VQVViXDoKXdfNarssbxYOn7/kexNwVoJ19
sbn8eFx1O2RYoxvv4RLu4zMMWNdfAWz65Lt377+rH0EOb56WN6cDgT59bQreVbizndCdt8CfbnKE
vaitHOHg3XAnJ91Y52qrPtFIW73/+j9/WP95jt7sNmw10tSU03iW52JlDsNhlhKi5Alqe/91ll3l
x3Xzz+u82XWsyNL6fk6nMzU1GvGP8rgd4DJqACIY35br91/t5z/136/2tqMsZWz+RhV359BEfedf
lcGH/9sLoHr89uTTRisVgrjec2Ic1Jg+oG1677/Cb34Yc3kQv3ncpay0chMf2bkgsgv9e6k+zJ31
m1/ld9/Tm82tUZC292bcEsrJr8JMyx5j9//2Od4ssK6Ymy5vsuk89CMwlHOWAFPMLt9/kd+sLnMp
ib75soQfSBPNOU4DeP66jaEobS80rXORsIPTVvGv/ZWJ/Msb2E9/H4MAGWUJrWR8+P1LWkjz0eu0
3VknyT5GnBPS5PtzdPbL1/jpz/PNa7x5aMB6N1IV6uPZiHX69x+y7Dddhd+9wJstcU6ykbDBqj/L
bNo0oxOIFu//Ml/Ox/ce/DfrOIwY+vgp65i7gVO5wb7fMnJ1Zndfu+EquOh+i+h4w8z/sTZYPvU3
q0Gh/4duJuSMeqAxnLOrEv/iVM7wrBznXe9czuCeObqNVeYyp/0gOVftajnVLx+rS23PrT104hWC
wW3uhpvfEUR+epALUEFfS5e3KyeqB1nxeeiUi+Ugl5xmk+q7XHGdZKN797mzl53p8Fl+4XJW304H
vO2/2b0WUfa7u/Gb3x25jggre6KW8HoPYezsqMKxD6l3ZZ/FEaKs96iufSenY7uuNwQ3u9Jvdujf
vQXzzbkHMlDS86Fsz9KhcEbAQk78CV63Zx6613FbrrKjuQH//zl41Nxxk1wEXvz6/tL8cvF6Z2ma
b9ZJAiZBb3KWJlDTNQlITrRUdbvEvel3aLwx+zrzmeT3ezBkXrYuN+Zl59Retwp3gxM+/Y6yoy2F
8Q/v55/H/a0e3ZJsZkM5W0q10jdiIwAgr+f1fIwOivMR6+0ayeyu3NLUO46uebuyqA7yVbtJ1teR
txQJfxUH/43ul2fy7xav94wd/s9I4/Nz9vq//3MCZ/bxR2nq8kdfpan4D0kRRkBDLUz3bSmT/x7Z
k2UMC1xbZtp/hfT8NbIn5RhbPDP+P53xiyDjr4k9/4JGA0wbJwm0cJml8W8m9t8vJO4sSAUs4pcV
Mv1k4rXeVCdVUemtFcbhZQXQmXTeZMBTbZgXihqFzPMCyZdm1OHFQMeTfEjZBuNp6j4z7rFFwyZn
Sns9MBSzPw9Ws62lXPOfARfG3NnJ3ZIORNqT3qOE8aSsArBQwSVqmQh+d6WHeKIVOqAQmmZjTpmr
NLYPydDMTaZX/YSR1kVxj5iJdn6HOZ3RfhVuTZqG+OpjYxHMAQTdVkFtx6SDNPgTqiGtLwJ9Sano
tGkwV4ElF8JJLOHJc9tJrwbQiz+P3v+Wvk4R8eulf90+51FDGkrz4/pf/vLr+l8yquA+sPpJthNA
ub5f//wTEmx8PwoBVv9IVhb9NbMLG8IgI80v//RVsoIBl/UPUVAjkO9fG3C15QD7ZyvlCbBkS+Yt
wOODmEQD6fsSQCIVNalx4Vx0KI3nU6yWUIIVXY4J8kV4fYkism/dLDWwB1aX3WKtWDwWNWaLXoGh
ninZsVLrRxyJ+7TJryLsGe3i09Bi/2Rh3EDvlbg5Vo5A6wOvxtwRysP9TMywHcFELAhTHtxEFB8M
LCFKBpE9ZEbQ0Xr3cGMC3WnjE0uXYbnFwFPrc+VFxao2QkVN1wg+LCyFplZHe/J1W2JgFIn5pQzL
Hu5OqcVcDPFdIn9hzmhGZrapTHsvUqanNxp52rg6siHukI8EoX6s46h5jAc/9zqOPBWzEG4epLzx
wYRDDBPZNpphxVMHqb2xahAHudnPq6oO5GqVEU8UgN8bXzrBEz6QRG2WiAWh+2+s3qY6iMRz6Re+
Zw7V+CG20mEN0PwU+XLlqk1LKHIYraoZnmdoa6vC729V2b+T6nnXmtJVT2pv3g87BBFeL7XHcTAu
7F4AzS+FW6fq1dREz6VUQL9ETFu03YlOMEEoUgn9l1l4bStXfSfthKKucr86W0H5WdVwBEvDVola
VNLZNvCrY2AzWVTHc1fUL/LUXJFotlVjcZvYPYJZc+srwYUI6eNXaXmdljMbFn5IQj8Go7mqW4sx
7LCLhX6fmcKRbevZthomzkPnWpmmrmL7c64UKz0VZ23oVkNhbQgEJxCnOflRc4lx9bFuZvTUFjkg
yorx23kusguLdABma+e8gfo/qvczJPye0CE9y8/8lm4ZD2s7DM+xX5wbzT7MmgH6p92jv98gjHiC
kbi2ovZUau1LUKBmWH76wCRZuFaID1c2lhiPTCdap7Plc6eG3lTF51qoHyoADe0s3Rqhtkvj5Rdm
1MUev2vo23NbJ8GweoVdgaI9vUd8f1vI4VUbSmu/NI6abkFRys5y3KfYx5TjoI8vPW/CtXMM37ly
9HuygUyaUWF7DEwEmxG6zzHcFQ34FGuqX2tTpS09XtUT3FM/6I0PplFvIjGEZ+Hrp8lQs4s6ZeqC
crdC06MWGtHMPd+XMVYXsjCOg8KS6mx9l4LNcCsxlF7Z2J+mgF7GSGx5pqF7Dj6MVSu8EXNrn6am
x1jkCS8Qy08TkGb9DR6ECSOw/zTX6Wmwx3BtZd1NMvgodzW0+nrbMPSZI2zyhDVRMJquFKIoK3sp
X6mhcvJ1/UqvMUtIoCVAKvOLE4V0GZfSptEzunBxsS3Rb7tSg3McSfOpjbtNgiXaQKUlo/JfsTr4
tVQmPXbXXJJINLm5DiJbQ78UTs1hseozbDtq1RK7s9gSq3OpwlAdquxjqWf8GLPkLYHEXuyTJBW1
4oORWruijTWvLnDZ54sjz5/HlvDpzi1kaCRqiAM5jsojypYOtLjkZmrx0Jo6Q1Q1610pm8+dop3G
JPokNPwLkqVu/RKhw7jEdeRxfyVy9a61xV5CN2pJXbpOp7wEeTOcKHInp9fZATKJuZhdkvmlVn7n
DLjc13E3HQsgNo7Qogvgs7e96IjrDcebQBisd4R7uQRe2UpAhvHVIMxDCwbCFvl37pIWYiNCk4bj
zETzEBooob8cef+d/cuN49dn/1XUv9ZN9Ilr1J/V8O7T//7Pn17g5Q+/Hv1L6C5gCw7Xr86rr5Xv
EkmAoRalqI0DDH/VPye/zslvI7sRCEh0uBic119PfsSq0DQJm6SPT+H474Jw7O/bMkz1tUX6ClrR
FgKQnaAw//buH6p5b/Sdpp7qoqpK8ygRXkHCl00oboaQTI+TC7tTtcQLhY98Oxo6judpUkzgxVhM
LbpIF10BEmfIRmlnGLl26hKJVEm1yQ+Zb2fXk5YPFwjJymMetcXHNmiHvZoNybWuDFAGitjO3XY0
Xxkx69tCt/w15OmFVlu1xVMoy7IN6MhOPAA2EA3STaIqgzenufECV4FUNi2ar9RGRJ1r42518gmF
hmzZGGpFRcBLrDrGojCJaG1eZlnn36ixHV51xEuF1zIGnIB2gqlU824uQ5L8AGFZ2ugpZh6ovCAC
ho7cLpTGMNynwWJKjYa8/1DXijUwp6tVHSgONoizECXGAiOq4lspnhncVn1imu6oLrYlvB1Thsx/
qp6SrtN2ek+wN8wkwNwzyIhy2ltIADwlN0KPyCzbOHA81M8A0kExZeFUcobKDQD4irPenaJc0zaT
AhQblYhpe6B8rmal6ZEp9ACjCzP+iAIz3JfgjOeTEVftjmFi1F9B3VXWU23ks4ZUTTeHU2azC0n/
3Qb+MvnTfPr1jnB+7Z8/Pf+4Haj81dftYDH5c19VZZg6PG6LDuXrfqBi8icGROC3BL1tAtX5W7xO
gCaQHe6oXFARvCtcEr7uBzb/H44FPPlkdyvoxP7FTRjB+9uLAHNp4kcYiAsgGLyL7/cDqN+lZvjR
dBHll9pktq7qT4i+W/t2nEEWy5NaObaaH605vSJV52UqU8k1pVkBKJlyFEYNOA7cdk1iXxCzUeAm
Fi92mJzSzr5DOnmrDfnnrgvWlSRK4IvmY1pmpWOhYHOVYd7IanZEno6/yu9tVOPaeZDx0ZGkpzuV
SO4ExnvEHQIWtE+9TKvUKVTjAeXwXTDNL5JPcImf2Nuh6m6TqL2sbZ3Bra8ApLGu6aUTfDEGZ79v
9yQ84QOTmoNiccaPkDOzseAzz14MNYx07V1nMSwUto99M1/noXTflREOGJIIVfucgp2fdeItYMn4
KzzVCm6lzoujal1ZZPppCCTYNQDBRxdNogjEQdV0PSN7j3ofzmbZuHM1AoaJtchFnkabIUckZEvG
YzaTESAI5cYNLqd7tKWkMQ1K40kjBZhZxJ419F4KLMKzJ92xBnsmn7C7FlNZrObauKurHgNbENX6
NYathVrWGQXQ0BFf0HyrDMMM+s4yKjIgqlYOV2kM4+U8YtaiwREGKVtaMS8bWHS0BImGzbSR03E7
D71AnQkMnLjGzSjjx/oSfuobyq1u0sjITP21JBI1lZF19e38NCPqdwT+Wwed4W2b509R+oq6e1/p
XBoNvdlNXUcyjBmTHJVvQd1KqzApF71vf7LlInOTSTvAO7ifdLHPSrh1mTE9V4pR3epZcxVk+pUC
IGcohx1NlM0Yx/42MnzNkSJ/i5qLMIlKO0xdoji2VJq7SSL9bM6sO6mvMTxW0nqw1Y0c9RZ6X9ix
/rCbbYRgclFirgtyAExLZVWVm4gDxCF1nvxBnwsbYjopUp267u7mNL1PDfVzofGdYSR+INWcyJTk
Fin7Y5DVl2OYRIQuW9wT54emRskuF+GW2HrTTfVslY/tPutIjEFR+NC3E1zf6rmdohWtgYMdI7yK
ykcRDa3na6DKEzmn81OnN51e3wIu7CHLIeiWTVQZY7sqZ+r+1nyswDgQMCJORLVezSGeQ82/VyZp
3MjT5GZd92RYwRUg4bWp5BeablyMJUdtJWb1GFuQGiqR4zEEOqcF6yT/lCBt63pk9c3gb4qIs89O
dY4aY8IQaEAx4HZhDwCOWrNh8taMLkCM58z3c9eQk9aVGx0mfsBZ2k83YsZFPBYpAWO1eQPh62BV
8uNshafUHj9oKnW7nOSEzNif/EzeZjbuRmFWkPkzFqB/k+K/WPmxSszuEhzXKzcs4wdAgyHbQnFu
I/GhsbVPNsTGVSwNl4UPkiJrlAV4pxIb41OWp4K62MIuA4FyTC+5V10lCfsKhy3xEj3EeuJQYW0J
+2X022euVZe+gl7TNw3fawbZR3tf2as6Ng6l1eiXs2ZhYihCEBmofK7LXPnoT5rqBMl8OxfFUZuD
FyVX9l3aTVsqI2mFw/QcAiCBvB826ykFF8TV5rUozRmzDp0PQrfhGrWV7ZStzTdgm9yYjBSjuY7/
UzEPrarso07ZIeq5qgOMxfKg7cSsn5kWHIqMTxnBkSzbUHaMWdKJO2EsEGZcwk3d++8S8IXLoDLm
+PWRf4LL8JMDn7/5euBT5VuaCogGRxr5uovM4uuBT1ccsyEJlKSHCZne3z8HPkmYgObp+xFM9sat
Zi5uNSIy6CSC/PmXWFiyud+e+Bb0PUHlQMVh4qt7cwNoZgDTndFhOtHy+VhRFzDsK6yw0jlvgh6A
9uwjCnQkvPOpZ7W+WZwmOeMe3kUxyRmtIacnq4tkrvOwVgRWrgbStY7AuoPrsgpIdsqxJg0G6Y0D
l/ngfugyqfRmOdClDJiAZJe7hg5MiV/ZECO2d1OF6SUVwZomhwQ+Nb8HsY3DQte27ULPa5q+5XiS
e4dOAvtSIDVrv8PMlnORyQWJXhkilUm+AgRdO4oyMgPyywOGgENe+UdlGO9QcSxyashxZZltunIH
bc3HrwzSJBJx5CZmS5NnNEGZWBydnT8jyhln+ln2pcKlwEmxkkldg+p2pNNBegBa38zak6P5SV14
L1HXP7SjAVY7SA9ZJBse5PdLbM3TehA9aTEdgY5sFa2rmfPoJS3zK8JJ5tVk1JhxZHVFXNTkEXpU
od/sP0n6eEilCOdQ7YPx9JVPI0mF0ETRs8sVp16VupmSsnmrpUuc8x2ZahlpjcMRLXzn9hEQFzoA
1xKkucrsmFcmbGFSxplV++VOB6bgjHpxjtXiqqoG9rnygMcJozG24h4OnGJWK0xLL/pUggVE1AsP
wOnTxEsBfbp9Gex1P1vVpSUcAsMIVm7HGHxgkaytyZRoGrWnjEIRq3VNlBHRXkoQ3HewDF3SG6ON
NuFOkURwyTwDfw0mcqVq90vv1ank+j7AaIiP3jhw+bxug3ElRiBQ8ahwqsZXQd4fI0PzEpwejhBz
tPKNKcUyiPG/TvzQlUf7EtCOubIq7bVIlWarQNXEkFecDSVvN6EGOU9Lbk1MV1lc4TepLqSwLAms
hAOgpwxXrDRex2l2N5gWbiXinWXtUS5pA5qQmPohvR4TY5cH1eQIP+QcsUhCmtCLsNDVEFknxkzN
nuVtOAz3OQMxL1bb+9Ef7hS9udEbztegnjd5aF+QIErjyaJr076MwFWJvxsGtzOT0qsSzlxLyagv
u2s/BhlcxEpHgl2wCxo92FZtddWJ+TGxgqfKAN04RuTXU0Us1iddcXW5u+0jWdCfI3uuEOFekoo9
zYjnHOCkIwcV+sBCuUbzuKZ+vCkbGZ8eIFnaVHSytGtuD5ZnhSChtVE60y4/RWYpuVqCeSdK73Er
5Bty1p+zYB63yRRsu75GjBFatptLwPAAYRVosPPHOAdnQrea7Klxtg62PFk4FeRNIM/1MRLJOhtM
FqkKUX5h0+BcHdZpM10oiv5ap8TOFzVtPdO8LegA7vGspyuhjK9JZF/FmLVolpHRqaTjhGty+jz0
0CD7nrQvKgDdBboNALNZ4sxMzBx+SvXsw8kU8tLEVKSCBRBNbjUVhqtTrEG7eBZhy/RY5PlqFDaI
v+rEkOEVBjUhC2OK9iBBPGO05nqW5M/1oB+gNW9hyjzmZkA9H1Y7U0OLXY7KQaZCX1uj1HtqJ670
UdV3QYsbhnnIkmgQnxRiz6Y53EwtQwcb2mDtH7I03oVtde2H1Wcsq42XD/VxKvyLxTlWMr90tAmX
oxwG4mCzL7I3Aq/qU21lFt2wiZPiPi8AT5gD3ZQUXr7hE8U9BEwYo364s5sWPFch8UznJf95lDyO
WqvxOI5rehYyQVtc5+xRJQxvCu/V4XWo6WmYBv78fNIPocgex4lvVLG763RoVcLoirsvqeBaQ1qE
bryGRPY6WNRkh8b8Tm6Kj7aq00mWP/cKiwHi401Z84ORn6N5Rto2bBE596nMvOxjKP2ar4CXGiRy
IfszDogrPioZeOHFnOn62tCXKKFeUp05NY8mh7sXWvKuK6i+wY6NO30wrtXSfwhN8sfqNHrNaAHj
7Bu4qQ1zvm2S/hYXxOxipsDoMdaQlJ3/qqQvVZJGY/HXVRLm/v/nRa/BT0ql5Q//LpXEH7KFPmyB
IMKIWrocf5dK5h80JZZMMgMRwZe2yVdjv/YH80sKF+K8yWFZKId/90bUPwxqAo0BKsT7Zbj6b5oj
DFjflEo0SzVM/XRNIA8oQPm/b45EcRw2YdpqJ0LUyK3HFEk30+2EkeyzKBtKWhj9bNaQZOVSHT18
BfN1x6QPm15w1ChrnpOQRI8WWZdcPcVmqiiX3OtLLtQ9tw6n6XP7IivaeR9oXRrtqnZSb6gtJWOn
NHItObYNiCTzNX+fTEJGTg8fUbmOTK5iyPTntPlo54EYTpBkCCkq4fb0YIBfqTLY6/OoS10c7h10
3qUNaH/pCLbV1O50DJu4DOYwmVe+PHVc3E2ucmYVyge1s/1DXVUxG3g+hKtwtPEfVXW7wjwZHYx2
gsnrzyWUK9u3mZRzgmGP9WnmmDr1Q5KH3WWoGs+k4jyZSfCRqWC2QvYB00cYr2WbvQoSQ0kZzyr9
E/l+LrG0rloFwy6fZWPdJlL3NND3cXpVJnp9SIgRtGzi4tqote4ViaBlmwHUxxEwzbbRcnUXSj7e
nUTNtolSm2ez6kCQlGW10RcIVk2QM4AbXCWGVRI1RvADhaePF7kpPdECyxkan0I3O1idjdHPr8HP
G8a8S3ROfVJqcQACU2Iknjl1AMJEm6zYLZBtMgRNvNKyXyEXS0x7522q0AajibuZ/AHdLsJUJ/A5
Dxt9fNBDJCTJMGPmIzy2UOzR6Vpcz2E9nBON2RM5bqNrpwtG2DANLrKleiEHSXItDYZ2lQuRv8ay
Xu+zKsrvOd1rF1jNpxxO/58hXv8NeBYGzK93rfNz+bNmLn/zdcMim4oxDOYT01QBmC+iva8bFv8k
uKcR0qfIJkhzJjhfNyyIe0JnHzGZ+SyJMN80c60/FENf+CTaX3vgv9mwtGWC9L2sg01RU/8/e2ey
3EaSdtlX+a33kRaDx2TW3QvMA0EQnKlNmChRMUd4zMPT93FlqpKSslSdbf+iF7krVZIESADu33Dv
uUKBYWkXf4r8gDaX85Y357OUDRNTE3VB7TOSk/b0YCTVNlBCjsGoVoHsXvUugCCNA1QfxbGxg4xi
U2OHWK10ezrZM8eU3eYbRq7kuYfx2YmzzRR4N3oWso5FxLSuBn2bjv5psOyrMi+3XujvusQ8Jzr4
KM+Z02UdAhMAe3nn2GUHUMx405zi6Bm+JDhChCfXIfNPk2mw8CoyGUzqBYDZWwxoe90esB6a3qMr
rZvGzM6235J8URe4taw+e0ydCRRBygza9i942+/CAcWJTbU62cDfw6zEM9+Kt6EMk9M8d5LYFx5n
svvtrNWAAbuQOayxy7VU34SjUa+CjOOu9WOdKXgo8bKSO2LKAQ4GduMVuJJlnLF/rbLXEB5DO/HU
Zd9su6qOcSMQfToSS7FxddKPB7IfVOHILHaJ23RVi8zYm1N5tPQsPhiafQjIy1h6tY79OHWvhpQc
XH9w7iojdkgwqtlEFxDaQ78WLN0czPJUZOUMm8xubPBqLkLU1CLjvmihtwQfmtC7TzTPhlFm7cQU
vCH6AeslRo5OJ181NpZ5s4T0rgm2bhFu8CrN9fvJo+RxR3ufF8W4EqFkvJrtRmYUy8hWMLUZ82kZ
N8HeGXpYDbpCSSX+Ji6YB8xRPK2rgFLYDtNPtVEUTE4NiKTabN76FUKJ2U5JdvLiLT7qaKW1BrbR
QfdTKN1mfkqdoNg74B52CNYwLWpeugeKtxpdgRSOpcnCMd1k25Z2Vu1qTHPBnTd42sEA6hdqpVwT
LuIfWONBNAf9V4MAbHQm2jpQQKFJ9EtgApuos9e9V6y8viiPBSjBRiEFR2JhBJBBfeyfpaIO0kM+
dopDGDNSYRshn3vFKHSBFXZAC3NFL6zBGM6KZ1iWIRG49okeio+E9tgq8qEAgYiQimcdirMLHLHj
0rVjummMWHAT02bLoOMqU0RFXKAfZhCLvZ4+IKqoCIIJ9qGiMPaKx5gYVcykEeJCHBUE0qanKNSW
o6I4UhOdCrCOrbraBkCPcRA/lNpEjaFhrEqAQVqxfOyBQ2oA44E5wovsAUdqhvbSK5Lk0HonS7El
iQRKL04qPrSyPzZYId25OU7gKGewlKHiUzYlY2JFrMTWus0Uw1K6ztEaIckouqVmRrcgTZBHAL40
3ftUW4vJO0qImL5CYwYKkllAy4x7l3DwNLvAIdToN+sXqbXEF4DYLGBtRnZA3gj0TWvA0guNU9Oc
3dyABiInrSKhDmQn3dYig+Hp+v7exSOMnJLihlddwT57hf1M8/mDr0CgbV4vYdhVNnTQTHFCsWFe
dcO8J2nn1bQlJFHDgIsPW1TGyV2b2a++oo52I/bnomKzpEEkNRSbtMaKvLCiFoIzZ+HCn7Nx2xQA
bK7/6RO+9gni130CUd7xVHY/T1TV9/3r1kUxLGBsgEnnHiV/8d2tazE3RRKMyE6pJpTV4ZuYmKua
vBJbd1A3IvUVSDT+WKEKHZ0xNzQMXKFT1xN6/Dd2qCDyf7x1BbRcELdq2OvwVLjf32sqoLowcaud
8masdXdT9HAshRSI48Wwi9wa59DEFqrTBx3Pja0fdQKhke3GbrrPUOo+x6QnnAgTI5zesqq7pHPE
DtxXcz2kgfwsW0VhytjNRZnLQRUSa4clXxuI5jK08aap8/YMblu8aDoJ9ga0Ew+khZGt5iIortNQ
+p89LbqdxgyCoGFoBxMp53ampXlovcl+Ib+vvhtMuzu1TeTuMeGX1cLtAHsb9lQ+QoRoCQ5szLfS
7rJnpr/FLrQbkill0HzsqXnWxGKwvar9YesmaDy6qJeXgdiirCMQEKqSXPWDIfpzpMF0/FQ2TJGO
BjPDCZBMmXZQhZRKWYS+yo39qmOugqaoz24kqbFDY4zuosTHwv5VBT231uwO155PvhmFiSCWa1Nm
g+eCze5B9qxsM8zio6MVANTpgabXBMBsvjYhWINWGl+cIbM+Tpprl/ALwL+GkWMfps6Z7tqhnD8C
TWYjWJixjimf4ikODX8byD585Z0UL2FTzh+DJprfwG8/14THF2F80FySsXLD6ZeDXcudJgdIOZ7R
TdsUVM4RVMd0lZYjEb2gUEgxy0uNcNwhjGFKtAhVq56tuEyrJ+HGBJf5xoOVovsmRJqRuworsakJ
dk7SOHceAJB9q7GilzpZi7Rn+gptmq8zgbXL+6DR87eGyPlXzR20A0pask/G/EwLqK3qth+3vUZK
GrEQFUD6MYjlF1cr2czKoLh1DK/Z2/rsfAjZN61m300exiAFLZGIBBJ7lbyA+OLimd3pqkkZds3d
qB1581JQuQh/krAOnr05Hx4K0r3XXTnGd4gb5U3Us8cqCAsnjkUIhKRNIwyw+T6HazPazSqska7D
O7YdRC3mGyc5Y1jr4I6DdSG7DlQronbjTZZy3lSx3ix82aiwEDzz/5zFX89ipT35993PGc5G+Pbz
Say+69tJzG6LUZzJT3M98fXg/Ff/Y9DKCBRq6FbQdwvFQfrW/1i/+YKWFr07cnPvB3EbmjcASQ4/
VqX9/i3i+F8NbICeE8urTn4BLpEz//1JXDmcjYOrB+QGGNHamrPUXxpqnqGNlX4s3KZP8Qky7xBJ
dIiD6cULDcxuyKcspaOizx5c8nmyvF9XFuJaXVYS4mtMDcE2rHwMayXH4kJCmlUolZb2VbA1KO2W
yIL4re30oN6YStZlNxRoBbG/BZv/TcTyrFq3WYO0NKtFv6nqBGkoixKfypCZddD56F9iiYs6gRPE
mKL+opGPzraaQbEdB/0iMlmPeyhHHbWO0Czq8KxHnQEphkOiDg9ZZ5zlXNLM6XQ8w8WwZiBQ/g4Y
zpUosz0sjf0YB/PSdmCJzbQhjDF6pKeNiK6kABgotZuEbfatDLxjKyNkGiECG3yWxlXRlPWSzMV0
PTkJix6pJSsmLeexbc5aCgJiCAXGPD7UbL+HdcRq0Gfp3pK0GltT/SW12jsY0Hc02KCh+6wtbrQK
74ElGP1XchNKJ3ouARO7jGQCaIqnXpA5ZJXRF4rpZGlKQiHNEkAgyYH+ZOV3mmMPG+mhe3ABJ61q
alR2DP5OZs6CTAYgbrPrrEyjiM59SOxWLInRstiftaNW3joQIX2CnVhewjXymeZIk7421k4G6YpI
DQla6KR4aCA7s5yPF+C1vA3NbwzwL1+O3VyjOXTlix10ipin0Thya4TNsoG2tn33Ubz53ZnxX0WX
35TQF5v/9T+oft419lg2+cBBK3Jo1pCSMWT4/o2d6NGgA5ZLrk3wTxsrG8yP0cTfaSBv6A8+yj/T
H8GZ9O/PvzuMAW/1z+ef+q5v5x+KPcEpR17B79YdXqZ/zX8wrxGBANlDweBQ5v15/pHFB7BUjbEJ
if26wP9WiVqs/akZEbU6rP+VK+jvVKKIB797mzAWR80H7xDlgYoVQtf3/dukNwuzrTR/OlMvNxtQ
JsW6QdmbYlz2guro6cnIgKW3NdIMgkKehqG703N7a3spgMd6RvAb6fbVWIzVok9Y43eoeKih9WU2
Wc3GNFrGDtDQdiMSqYspMMtB94SNNIWE0yTlsz8byVKz9U9FxWFgRPMlj+GYBkOZAc/EDWGF7pl0
vH5ZlMwTQummy7gcSPX0WK93hHTiaTMvqaVl+z5HX5cH9lqvI3unuSNnoRU0e4MKFf+FU9jLWKa3
WP3ehrS6K6mQZT4Qcqs72j4ZtfEQ+hkY/daXZ70jVMFUUwl+SgCfH/X2QFBXt2rGIlsFg39CtQHr
xcxIC+wvejo/5p188JPqGEfNB10D1SZznuw8mIR2J1fCVjU9M4BZep9nH/DlNKXV0jP74+QyzGGY
VC21jqYxcsaNbwafUopoyrhyE0D+drXqVJjyOYkxfLisLhEs52zn7Ol1js1rg4X+evDkbYw8b6kn
VuXdNJanTVutU8zziMcLKAuXVU3Cm1Gva1lCfxw3OkW4STRMp9Dw9fw2e5Tmttsfi9Guly6JRBRe
eCCKrpFLQQgSQw1QU36I2WIwxZPsshOBROGqEnLdj6a9aqa3AD4X3GElDg3VWP9L54aswVO7WLVi
JltYb5GEZOZNUE8O023ykmQiL1E9f/QqFo9GCw40ykocS6KxF4VT7nuzfUyS8tLpuc4CH4WBWrfP
1Yagc1wdFhGNhnMZh/CpLaS/aPPmGNZthgeKu9lzeLt6jCyRO4VE7kxs2d2sANidNyg/FHgorvxH
GSQ3XJ4VEzjnGAwe2L8KUFJrxx+RI6ixQPnRHS1C1UctXjVaMO+CFuQYeVBA8kKBlcxk6qYbs1yN
IgQF1oZ3buDyniI6dwf68dQG5bjsCuXRGWfCxSsF6RIC4cZwcYyIVbCFB3nMvbXdOFe5Y+7Q5iMw
DP3zWDTNKtMItHIjzGwhFS0QyxYoWMAYJxvPJQL7umzrxTSkn0CjPyW59SonmMiClHfYZW8cUte1
GbKWAPjVD7a+TjyW+vRO/RVZTTeWtD6zG4cmL6OdRSM0JP71aBZ3cZElKCvnlww96KLBoLLx7CTZ
yJButQ3AAJfVhTYxWxBw8JbM8JUnM9jOHRW6mWkOEy2VNhDGd2UUDnyo42zNFPepGMonhPNUKL34
WOvJB0ICmUO34NQkgpxFXGIXKL3HpNaOMGUPnp/rBD3bbMvlISjtBOgi0hVoZCyXtBd2VXSU5VVZ
59licFneUlU8tzNOoDS0/F0vmcs2OdGTA7MssH6+OJtp6Wmryp7jz/+0Bb+3Bb+8Fm+yj5/+6lpU
fKV/XYtK485C33Ec+w9jy7trUXiCWa2DF1Yteb+/FsmvRyNHJNrXuPP31yJB4rDZuczwM9BM/I0B
Debon69F3jIeU3oS0Mic/aEt6KeBwSfmh3M7kmkg2vSp7Kdbt+z7deaHZxJckk9UnsUinqx7NBCo
pS2NYbM7fNEifYNVV6BgAAYZemRGF5m3yF2Sz8GQvdYhU/Ixg7Xcd8UtfpUQ5XkZwNHDB5sjP4mk
+9pZ8Z3Tz08RA2k+P+guTCmWpDGwsHTlwVLLmtxVgg6/2MyZecdjcQrhv6lRO6AZmfg8sMdd4jw5
tan/wLSMIzwNPyeNdxJ1cNHFeI7CZle6qOpQ3F5MnDQbAVRokYj+ZjTdco1qkcPZHIdFrm4PpLno
85dWRRQJ5gXcctLYGRE5Z37LBYWY3lt3JJetrTTYOoi4AGTm9BJS3MOmZqblrzrLWncohhbEdcb4
Kac9179YtkXkwYyfH23/M1GtwM5HNXQ/uH373Okz06sEC7CwIMt3E4J+pwdmao/TW69zMRjuxrU0
l6Cy6DE06H18T1tmXka+KdI/xtIM2d3zELPnZU1ApM1jqdmvXTcdSSDbailQdcvlyDf2XZBeCMoB
3G47tx5/oYBc+YVW1pshy65r4d86sf6ajrO+GJkT4huCD+67w0NuipfE869pOXCB9oXYyM5g4DC6
R6I677XMKpbOrD/GfcK5VCT4ToMHOdbXEhluWHMbNFn2JrTow9hr99LqrsZovMUKuKE0ee605BP6
MmwFMC+XtSQAdSaIbQ1D+Ys7TXd6B42gEv6Jl+lqgO5Kq7gKxBdDArE1+XWUJ0uqeRP8cA7ghLGQ
x0ohdLdzAji2LsoPVuG8WKSHLotp/Ci6gfeXUbFlCElb7MkpMfrsMx7UJ7+2sIKa5dbInAMTsF3p
tJ97DTu2GVkKVLgN6YhQhFY3cANbVGT9uGIEHy3gYiUrLQK5NFme0kOSaNLyR5pxNSxsdOqYdM3b
1pFrX+Y7BKS1v264yw8BKSbXZlc+jg3Xz97iM/cCtxASL2VDFNJoza1A5DVFl2mo/X2QQqMt3Wbc
ktRHaF43iGVXGQBougi9sya/sNtqffyuVYsWOwqSad3maTU/9F9NEHY/etgTwiAVd0VgYSnQQusx
Fgl2ZEwUOv5iAvPIMSkE/gpltPASOtvC36J7xINheB6pYHV2iKVw13kfGGs5WC9lb5MapsT3WcRb
uhhaB1YbK3niPpca4UWh5493nsTyUUbReYzmz6oljavQW7G23+gUtx1EekjqQEcLx4tWaPg2mete
j0IAiI2Xs+49xVhRIo9KB2DFxmkhNGJWqfVplWFeyeJug9G2Xc7YWkrZMI/A6CJQn1xnWF9S4dzx
1zW2FaaYJsGYgEnGxyxTA7NdhsHw2jjisSyt51x3CYPEYJNkFj6QimgEApAfbUarLB3ZtBAOfj0o
h06hvDpplF3p6D34f00Ehwnjy9ZmpeNIyPfaurbSL9NcPcjEfZRVfGLe8Yq7u1zquXt2MAs5Xakj
GYmshYXPBWchyy09MF71MbkFWH3Fi4frKCFWsE3dh7wnamHOcE/DS43WFYR8R4nb8TSBx0Dvjo8X
mRkfPRclfBOZ+0ZJ42M08ohp8YkYBx3tPEGWV6kS0zPFbTHsO9GCbBmfACiKi84lplKQD7AOUORr
0dxuSr8CHtv5MYJh/bpQAv5eSflNNP1zGHzUpvwK/cyDpkT/xjh90pQNYCIRdFkPw042gv3rhPTO
DatPQwnMWVPbXlT6D7HnkMUkP8UzhqvQ1PN71pE7rTAfXGzjy0DyamRusMHHoq8IveLYGPZuLgOC
7jpKa24H2aKlg1/d5BnvtSanE1lkJG3Uh1o3JowBWUhSlOoCm6Bt/A9mThzz75DlfwYFFhueXwwK
ELct3pR59edhgfrOd1URrjoEaWhFKLR8qo53VZHD7gkN278kbN+Gpc5vythHogxgDmG9Y+BYzm9M
FxgE2Y6BsuNvittgdP5YFLEcQ3uH+I6CyCRj5vtZQdOhcWJLrBEsmsO44OaNg2FRZE6BIaktN6k7
ERgjrCUGkouO4ABJOf3+UKVPw9SWK0xkpP2iTGaqlix1xykX5jAFq6ryhlXcNK84hB/LZPzAluI0
4YFlGOfRoWf1GqA6YY7WA+qGLSSRZBW2JLt+pRxX1icmb8veJUBBYdl9nSUOsQxca0n9pI/ul1HQ
TyeDvMvN5ME11Amaclx0Gi6a3K+eRSe7VWzIFVEvwyYJJSLqUtsUFXJfQ6u3Q8rmRQRURk2XHyJW
SSTLBiVi3MEGfR2M4oPMem26JANo7002GkNuLUqVbErSsS4RjxpEoPoYB5hz+hup4lF7FZRq6h2F
B8zGXoWoklB506lYVb9AqK+CVjs9+dySvBroRLAGKozVaq+z/sFsoGZju/SXg99xTJDe6qoYV4M8
10QFu4LTNdcT4ejLpuyPTtA0h0ovXiszIhKhyCJA3pQSBhnguQBdkYasryLXXjEdvNdJMUndjgnz
yGGCie+5EOVjHrslo+KxvNILdM+a68PcQLoWEsuQwdIwmm1OZGfmu4fRDp4xtHPRpda0L51k0xVC
3xtcXguAINMa56OJ+avEhp1hM+b5PHlhGx96qq016mdaeyMgs2yw8nPg6ffUcngvJSQO33GPIo9b
TGRDFT8SJmxm6xpypLM2Bu80m9NFb5C86w6EbVJNPMYc+l1IeRtUNbkatXWuQp+QGXNHi3+xE3cf
ZPM27btdpM/Nqm/D+9bLz6Pfb83RnBap3jP04JXHWx4ldrdnAvJExMq9W0bbYfAeMSxQcNbNbuzC
e6D3V/UQ39V59xy3FMcjzTU2a7kkxo7hL0Eg8GjsDbeLqZIsrhyQ6kde8mTRdclbwuXZ1zw3jenY
2rIGe+eYhEjPLtlE9gezzrGR6tzsjFy4UG5hy8v9ZLdIRzVyfbrhtdCadd7c1x10brxxlzBKYHj0
kOPnQ+0Yj7qfgLQok20T1zt0/y0lunVi5/4h7wgh0FxnI1tWxlYl6UNCZDIaAk3QJh/9ABqLnmOs
d2Yct6xmqTVMcziWjbYqjXFlevarJXUIUkFyN4fRmQXuU1UT+WMbj1mlG2vdJKuySIGzp9p1oPvb
BCgLC18Pjk3x2geIPpFzXPkhfmL0Wscs48sM/zi0XYs/Pt97YXfVt8WRr5zX42ix6yttOntvyMwN
bJqJGlsr8tsIJ5VJokP4kpDkXNgJbZGtf6Hm2aVx/9L4A6ZOojI9noLlfWi94pR3OFQgmK8sAxJP
a+3qUD5PLsMZk1HlYhDOlWd2t55Rgb4eMVnWtfUcd/V+aGoCbPoAQ5S4WEm4R293MQs/Jte0P9k9
gYKjXWyDovb2PntekgK2sZc+JWZ6xQTnwS1Ql2SJDgpGrEyZnaKiOqZ695Tm4q6OeS1y2X8SOR81
vT5h0TmPWd7tw4lej1CfXWZWx8o3b3mTHMqOwjeq23MTIJtycUB0WIxys1ph78w2faOzWBiOmm8c
NUunBhu0vSAMUK/Fpq2rfT4Pu6Gnpp3TK2JQtm02X8j0Y1uSV4R21cdR8pb1mD/mTfYQ6MWHdACk
Utn7thZvjZCHqHT2hhU99k18Z3vNPdSLbGE7waa3I0Q43mtKZpaRo6ed83IfmPUVodeHYjb5hBnD
KSrTY0z41phZdzTGOITwDxhlpS8TR6eajzeFlGc7L4+x6335Z1rzdVqjROr/qTapi4/15/ivjIrq
u7/VJ4BKDEtVGf4fJLI/6xP2vBjO2MoiZf0jce9bfWLzXyhCYH2738hmf8hqLOs3DzMQpHubsQ4L
37+nvjfVVOY9o8wxAAbYDmxxVDympf8wtfFHWyNV1YqutZR4SVsRNLx5wu+qqBp9rQAbbdXWNetQ
DfAGvlsgHMFQNcnDlKRY679iOgpF7CgqGY7MmRXJY/wK9ehY80D4CMdqhvcxZmw7+AT9zgKxHPpd
fIoKEsKmuYYY0n7Fh3htixPORpQGgMfVnQUa/OQ+L7nDBb5ec5ml+nQXGR7xYSbmgY2UGdtQtr47
YtzpFO3OfSyMXusIYmn7R4nRGXmZLedpKQoS84AgkT6aWtK7sdJe0sIjuNBsSYarb+BPpG0Pzq5u
hN6CLjU+oc70OryBcx4uvdgJln5pYknT82VuJd1J19z82nWK/jZnfb2uyXwSy9gt+l2nBTZxHJX3
wSzycYZy4Jczt1XnEPPgxTaZvWBib2l+scfMbR7vstqdP+WmpsKDxdQUy0nnEjQ3nW8nGK+E1aXl
3uutdmvXvCDNKsbu9NLGtWGsU+AOa5EYXVRAAouYYsFC6eceHsNgzbPP+sHjyyZZh1tXb+dLU/fJ
B4ZhzcV3GxcXnmOwS2ZLfY/r4tq3GonHW+OveVNoYa+vw0axA8Kg7Kp9ZBpdcPZiM3lJWbffjz4O
bEqjDunqUOhxttOtAk2M5rEf2FdUb+Mhd2MxvDmDF775BD1tITAGmyyOEELFPkELjdZMINNqlx49
bp4jy5D1udJIlHLm9h/5yR+QpF+K75VlaIME5VPcfPqrxup7FT77VRQouk2EK/q/Pw8u0/oN+T3N
iNKUkLrxbtzs/kaYBXmf/p/f9e3ggssEWRQmovH/4LBWpqD3xxb6ROxCnH5Kk4jKWmn039GV7UzX
vSSo5/PcPlVesOi+vUP+LfZa/YQ/H8GzdX4q+EbokqbPuSjUM3j3COiGHTlKyzizt2IWxMosXjT2
577fvbs6qA2msCzeiw6+/01+fpwftsmlZkik7bZxthW0tL4a3M+/fgBgNb/+TX7oQUOjKkzytoyz
Obrw0B5c/wtS5qWvAaHq1wiRlk3/IgnFjm9anNtG/MahGoY3ZnlpCwT/kC+qo2OHKMGZ8opLl9yR
nrwa2Qj9+pkqK9ov/+ZqxfDub24R/c0QUP0trDXHLaHUT10fL4kYOw9MJQP4cfGEkM5cVPxPz4mX
v34CalHy0xNgh2ErsQD8APMHBUiBUqklfHs6Y/chBMjw6+wqxXVCLqgUFQw5TBfdnv3foR5ZM3fD
rcGMixOvREuvazMRUnACTdnp/aYNVfhh29XbLH82c+swBHpDeaYlxsNo5cnWSv0EerJHPlySrGvy
BCUdpNlXG3SMtFXTNprPvROv85ABITQwLMjbGst1zg54TvDmPzcM9sPmHl/CyWozzLLOqkeqYg7l
HoElIBli0xK5Su17rNcVM3sacMBZ8WQsO6PDzpmvVQRS9dwkOdgeCD1DQTSjuCTJKRnzbV+Y5UNu
4/m2CKQq/ftWOCvBIDDpsbTYcShWIq68le7lYl2m2QtCpEWeI9rxycJbpaH4D6z4H3DZSnzx3Qdf
KZjfv0WGGH1OOzbzWd9au2A/X7VP1tbb12fCr67aHSa6NY7nJRm6sN0POczs8UXbp5t2q2+dU7xJ
/kMG2vcDnp8/vkq2/O4tKzKQoLl6y5bpHg0GUbQ1ro9Npf9+Yf3b4+iv3pnvj6MfDjwvzucsoi08
awhw78fPVbgEzibMFfXIrz8EPyQh//4rvf8Q/FgS8ompLT82zxFjqZt0RLKPxWgxNJQVy/AMpObX
D/hXJyBiHupQD5w1htTv/4RE9Yyum1nmecDNUMyvvXbz6wf4qwPw/QP88Ldj+EI1FprmuelXHarj
QVsyp/kPv8V/epAfTll/9J15YuYIOPY4V4fWuTedD7/+Pf7qSnr/e/xwPE7c1cjvbPMMFoV1KOAw
59ZPrv1o/P13+e+eOZ9iYvOa8kv7P9VP/lTKqY7DqP3f3/+z+f3f4VupGOff/WNd4CadLt1bPd2+
NV3Gt/7+gVBf+X/7H//gRN5PEmr6x895XDD4bOv4U2v+xeiYl+XXjd2h/Fh1cfHX3/qtq4M3h6XB
YN4KaPJ7iS7qNZUERUNHDYvqjLrpW1fn/WbRXQKDwb1o2l9n1X8WR8ja/vhhEOn+Hm/uZ6+ECmMU
SicgsC9Sjn3/iXI9PR9HMdXnSUNiyb4I3AmrbBRVOMGi4hwLjsII/K8D7pZGwb5UioA7h/qtFYjb
tO7eSlS5ixFYbtL3xwh4bs+CNTXNpQZUNwOu6wHZnU1WK70YAdZZVySfoDwDyAu0cxOE7lUDqLec
tIsDuNediicb9y0COXy85JXjWwORiA+iXEWw2xcOCGDbix5rkMDAVC5Tml13E8BckMEjO23GmCNz
lJnGh3C+OHywyeDW+I3WWT28+uCHA59TvrY+WCEGbfDEReBsYLwfe1FdB+CL/RKF2CyWYSSvO/DG
VlmdGBw+ESm3iwzj2gfrq6XlOTGSa6qydd8BiAOXHOn9CzjtmyjqTuEwLfvS2wrwyhaY5dqU69T/
0tS+uc4VhzkiVngGzBwMLsQb8ZQk/V7DxtEDcI7Ceaux9cwBOzuyvpuaCffWGJ9D0M+pO6wMUNB2
k+/mqbnNvfa1ABWtecU1BM2rHoS0PXeHvJ52XYWdEMS0m0g4KwBoAn9vheLWjVygf0CpW0WnFtlA
1qOrLYyJcVeQfrRKcesDtI7QZENads8dqOvQJLMz7Pf1XCwbUNiJP+4N0NgEHbM5sNZOERuLCnh2
kI7EaymetppsxYqw7QywtrOpC1Yl+G33K4e7GreehMwdjpJRJ07wHGg3dgPgzvVXlHcz+QMLwK+I
byil0b4tsbmdxTyPMTIKp7C2fV3gbTNYGfQjRgmt1Ldl1WWqmbxNy1YeCodw6aZii02uNXRge+5X
/WRgRBshn+DWN6G6zcmtaZiQTdF8Me/dJQWwP7Sl3ppfaV4W5gwau+iI0pQweFpkm8BgiCcMyFFe
NfhUYjFVKxBhaBktyClz17JYlJWJBrt5wCiir1OHgi3JzEvsTaCXki+DjazM18x7DSli6VkraI7n
2bQ3ok6vqyYdsKYzHM+CN4x/Jy9pnzSmw8mp7sgh52u7JRnpeN+dcB3n5cUsAeN05M/KHnp2wM5q
yVSS7HEpXkMQUAsdMNJCNhUKS+Ffx3UfLtwx+UxU+Uilz5az77Hcpab3hkHpQzGZD7btvPH8o0Vb
6g1qSitbWZJpbZRb2GYK8j3xCRM6gkxFZvXK8uJzH+UHfHyPYpzQJOqHxPcO4FtA02jdmgvhMZ7N
tZ9n1TV+/GqT9+jmzU5zTmUW3BUyIo8YWyac6t5adcJiQGAUzwM011VT5Z+1UskqRiSlbhQWmyQd
94GWbROdcbA/9y9ziXEzIzw91t3XqB9fR9FDYRlz3reus7Mchq8uHPXQA+VgVubGkxnjd8vcBqX5
3FYxwg8iHqsG127YNRTR8fMUgof0NfEpDgjPdXxYPl37qnX1qjGxHoyBvqqK4MkK8W9OeHdnFIpL
kSo7M1nlokW/N9fyPmLZstKTaYJdw+s+BsGzlWHUDGTg8v6yNli9WbH7Ax/ROJ0wtPKxrEmz4OlZ
X3IdtmIfhIojSUmeggIa8mofx7PDc+sP0mvOYw5xZkIxDN99P0Q6ZLv+sdD1A46cGdslboYYicii
08erNNLvhrA92kV0b0zgYPrEWRV1gohTDNbKGbWrGLMsLN/0oY7Q4cash1aZK8H0RFFabOoBz9hS
KwM2KigWgSX10V608SbKerEodMLI9ZmtN3xt2NhNXm7GzoRJOl2kSshwjTG7ECT3R1P2312MbN9K
FZzSfF98/P9ci9j0Cv++FrnvyqzLi7efCxH1fd8KEWB37KsNCg0E6Sqz5d2URoeDRzCl65qqDHnn
2kQQD7/FokgwHVJjFN72v/4sREiEMl0qccU3QFD/d0SBztfw1Z+mKIywDUgO8HfVev59e2T0dp1r
ZZ6fZzs6WChORV8CbwdZNRdJyYrDEYskyE5CZumGLf9O74xtLNtzRJwC+lm0QualMMDVWcZhaOTH
tBMvxD8CQGlP42wQqSB2c4QfPdXKaRm54UszZRdCd9O1k+cfYVyRxRZBcIJGJZezMYCNmzJzkaVR
w6eqLZ5KKzp26GWvCiu/8aIUya2y+c2utgTr8Opo9gZE0k00ssutwdX/H/bOa0lu5Ny6r3JeABMw
iQRwW76qq9r7G0STbMIj4ZHA058FHnHEGUnzh+K/nbsRFdXVXSbzM3uvXQXpK2HLKI5KeQPvFWdP
ny18K/Y6vVTfpFJos3SMYCj2JBSozDq6k3/uOoK/w+LRmfTnJOYLJ/YXkiwfx2lQ7F2jvZI9YxYY
b2qQN1DVTnmHNSeI3SfHMDZMuN/HWO7aoQHQZ3GwjIF/K4IGMj9Fy5hdpyPaYsKVodeNyRoQDld/
Y7wEBYIChbradNMzanFQrdV05QDFPJZ4/oG2gI+LZVDsjDR4115x6w79WfS+uq7qO1M5uyJLtpNn
3XhusOsdfT8BhwUKm6ycxvpwrBhig/E6iPCFVcdO9n0P+YU9rJMXX6AgPlWEhBCtxb1m6fR6Gnjp
kAncmTrUmzaTxXMtjnJqmYN0fkS4Se0N15FJDTkiZib5Y1xP/fAQT+mW/052iWzzTVeXzz2/RoiK
ap0lhGSLUe3dxOS18Ql9N6ereuB9SFNEjqnp5xs1+RinJuc+8cn2HMNvzHPgEEj5KJS8N6ja10Yn
zwFaSg5kkunjqsY82sT3BtQAN+3E2VUY+3WdPjII++qbUIrD4q6Is29p2TxHASc/iMlxHfFHHarQ
GjnGQwY8sJHXnm3vHLFI07wQGUhClGLS4/xcirpsbwry6GxYa2WvJySK/Sfuv2ojJPeP6VWvShXb
wKryZS8cr+scAl2kEG6VGi2g0zYAJ3zPIo18Iq3TCqoLiNanes7uIZD40OlSZKWJQbSYRmZX9CWc
xUZdmQDWzhapjr3fvibSO7vCvYeHkay9BI6QYc3zvihZBJdhQwLIVPLJdOz3qqwf/IE33h0jKCDz
NYgTZI4GIL7BpcD073tsYKMD+8EKw6OXGWRw86FnXufvgNKxB7Ygl9hR1q6qsRlXaU01Z8zTR+TM
sN5abAw5r+iqQ2fVDeSkZygVJkpba8mgAFa1p+AotlN2jwgSLS3XVTR/GNn00Q3yMdLDY5ZbDC38
W/qVbE1wrliPNnUH88VnfMLlqsu97aI+i6dBntAJjis8AS5vO/UTfuYP3tfphIliq6pKsCsHK2hD
pbN1C4XZuGgTZh0lX7nF4fBBLsdhqjpcfrKYeLtYQeGxBeXfKCTI9fhQLDC8ugXiFtoRmReO5PdZ
oHljzyeQf/9uL0C9yc2JpV0ge35u3Ne9+dku+D0hi+SkPO+pgszXLog+RE2fqOVuPJQ3bYr0EUGH
2JYj+ghpYYJcUH8hzD+0lrzbCwawLvmjswUN2MMIFAssUC3YwCgBIDgsKEHG2IcQzc9BQRmsZaL2
AUejgD9YU/MQiyEucxfftItykd4X/AvUwjEtRgbC6raGZ5g2cA1nzkplPVhRba/VD/Sh8j4iMC/Y
DgkRAo44LphEF14iIglrDYq/BpQNjbJx+VBnbfg2wFls4C3GC3gxyg2UeKAYaa6ylYDOWC2YxgZe
Y+8YmHKcBqTJAnMECf0FLzRHBUU6tEcOun1UQ4y04UBSlz5ndvfS1JTkeda/iAUZadmjtUFyH1/N
C1Ay+YGWxJaKtwU/OI3FsWnTh1I6+3kBUoaZ9TZmLDgDPDTuD3blQrF0KkILG/t5kHdje5rD1zG5
ErFzV8K7ZND8nBrFUwIHUy5ATLQr6J1BZFYLLNNM5afFQb+1GOoOieSrvaA1jQWy6S24zXwBbyZC
bFQwntsqJ6zGPnjsUYFGTtt5sh7orK7iBeJJbfvidZSCZt2d6u4aC+2qcxE6RR7BaAsFNF94oDYy
57XbJC8WqNB8YYaCBrF2sHouwcITHVBD7tAapRhXHQdLi8+7BYB0BEQKQ47BGRpajGQqCmrUoBh0
hFafTCfjy1h2EBkiTmzvJVXFuG+6BPlRV8/TtRWbRFO3vM/YiCS1Ot6hJFwrzq9T2M3BjeU06sac
DcxBpDUdEWJc503s+x+9mKb9rBE/xZhQt1weKXwBQthd62JX7pHT6CRDPjq+ABwOFGdjNALlsVdx
Qgx1tBKtcQC7ey1EGx3K2Px0JvMznKIvXDnpaoo1smljU/jexgZR5HT8jq1jqQ34auBn8LLdKMbs
ldpYdhifQ4J7jXUxEBQBtnuskcpaLaI8GzHvYIBZA90SLaFNXzrzZInwPgu9g2GMNt2Zd+NUGg9a
X1jrLDefePm5xa38s9LpaQDzu6toqJtW7lMf25KL139XahPTG5rWTZJTdlv1+Fp2KKB1/uCKaSNz
9wk93i2JSh10neyI6mbXJPkt2V0FZBnNLqFCeCW+crjedsFYrvOYj0Ai63t0ejsOOGs/ChqawGqv
yxiHgjdbh1J2Ntrg4sYLGgRdYUyjh4F622gE2Jz7OcklM/J0iXRK0+5VElh6ouyPucXPmI8wKuD6
4TeU1xS5r01TnbWXe+hyja2VwIgb/TeuFjhF9n1TD1d8cw8erC32D/FTNeOaSxOSkCyu2sw6J2F3
Febqxa2s1zHMFsCs99Lid1BMhhgGAa1IWaOxc4ieiwnOnYWxcU5OjWguOop21Whnmz7x72K34o42
5FNfDZdZxytGw19yATk/I9+kdaYzMvb+MDVTB0BeXgoLX7YsOAiNeG+6icTyJA6Zss+jOV/1jeOs
I5d8JDnLl3QsilsnNGd0lr6xMsbG3gwxeWnMkar1yBJp5RbltK5aD/bq3BxaHAHYKNMv3kgN4+v+
1qtaZx80g9rjBW/PRd0AS3XGqzzFUIjhbp/lobEPfoSq2T8C1twfYWvYv08yIX8N9/wx+BHJlv+I
Z5t/RLX96EL+bscE4/b/3I49qPzj32l9lkf9bMaW0W9AEyM9+XO++7sW2f6NJbUP41I6uMyXPuif
U+FlFLyIb3zTYabMwPhnM0ZUoQMRk425QMWMpfG/acYsn5/0y3bzh3F5MbgTdWLDz0E688dmTPgF
l3RvTzd+FzW3XjoV90h4vVeVC/uE/zF741Dzdj4r0MsIqYQw7iHeWO4wP3vB2D3Epsr3uDHAvuC+
wl3bNczSOAL92rzOF27U4Fjh2XWD5g7UIo8ffFNs2M37W1NV+mD4wUnb6IjbLu5gRTsZExiz3Kcl
SCpqKXQ/VavfiziOTqrmnhFGl27s0kRY6/sV5+D0HNg1LlfQMmHhnXpQKtBtjPGqzBSxAWrUZEIE
IcejeZM5vcLtnGXrQNbZKk5oSSSuRhU4+D3NdOaMw4XyWU3WKFh1FxuaiWiZqr7FOgoZqw7ILqtT
ChFuDa87O9pzgFUJKfptZEWvZjaRE+A0O1GVdy6Kuy1QO2PfyWjGu9A7JyI2vG1OPBjdWntMOhFs
oE8Kvsal2A7ErBykNfirBLDbqS5w54ZquJsbWGZVjvMTZtu8MlwYlRkjMkrH69RhezVMvDpGD2wo
GSsaq8RCo9DalGTeWB3ruD0x3X6vK09jQWNGiAIt3VrUYHFUz90CR4+3xgiJL1+YfCFwvlQYLH+h
9Wl32Bc/+H0LyW9YmH4auB9TcQZiJr1ZsZD/SF9dZ6AAcYDdYdFzVpnWextYoP3DIgRkHIwDKMGh
tm4VaEEzasnkADZII7jXNoW2B4YwXHiEciETMl2KsK65YMHL4orL99NdOIatHB+GGD1Ra+MnJKBD
sFmm6gV/WIJBHMAhpmARK/CI8cJJnBdiogzl7RTicQalWMwJdyJwxUAsFOgFt8iUtgK/CD4FcBNA
RhkiWppBNBZ288VZmI0B8EYA9nsiOJ7qheqo8eLBrcY8CHIfJFmdudRvFPH9V8ExvrYcFw03Td6Z
y7XiW1Ek2dmSNVdqP+XqVAWhs/GsRp8jaSfHvw/j/xNgstv8i8MYGdO5T9r/ufmStNW/EzLx8J+n
MiMyvpGEOQUwPQJssr+MyKzfSIk02coFpoPQhenZz1PZ/Q31JdIm/g8f8lnAo36eyuI3QGQ8jC3e
P6jJP9eWt/83+mLj+R/3+n9cfnMmcxeQFRHAkjBx4/7QZ/6iH2igYLTQTKObiFlPa18l4h+kkf/8
DHIZsv0yhBNs1R16VMAmiOSBA/1pb1xYygyqfNLXUeYdAQcHO23babPzCn3RjpYjRryp3TPbTbdg
z3FaWJ3vPtjY42ixcFReQBoELZrHsL70jeGTqNg7sr5IaZh6K3C5RBuzsvCGEOFC0zya1SGLC3IL
WOXtNfLPfaPAtY+WtPbMnuttq0YEMLIC5jLI29Qroz25n+amVxEBnDAV7W1EaKSxL4txVg9lM8ff
C9ScO8cCrUNsQEuoESFrwk6B+fK/tlaFs2wbi8J0HnBAIpmnmK7vOs1vkdQkmBuWC4ksfnUq6yrW
MTdAzhAtC7KjM9R7vDDnketk5XXGNWy1ZzdzHuugfWiy+UwQwrOkemOEUSv4QeJcN2IbifocxynA
nyg7EmKTIHSVV9Tz5EwUPkMJRQYS/aLJPmVW0wk9/VuVptOaDFCYaqq+aQjFOLADO/fa/BLLbMKw
hq1WhJSNfm59QnPIN1MQbCccISugqQTfCHrJTmt3Tx72fFVP1dVAUaiL7NCRY7EnTbjZJM4MVLQC
HZtcCrDG29AR9YrFJ7d3cwyb5D4m2IJrF7ZEZGQs/xh6RZh5y1ZDuYiLB9V0VzFps/hkTPl1Gii6
pyYa16Ytd7rio6qtZCvQ4zJ5Kjf4NY+6qi+jKGlRUhY2Gdgc8hZppqLUXToV5npa9Ie2JD4Hm58N
c0QAY566S03fBPyoOQ6ZnvYqNz+F7L+BL/LBycuCSSXxnas4c5O7qvQLrAQicdew/MnOgLMXAOve
t775NTPi4yyN687ynrrY2OdxKJeUVzaX/jI+PpNQdTeUxAGl9gb0/7ZlrFxIILJYIfb+2Nmb2uGF
p7k4tObwAi9PwfSNFifuOyrnizI7h4GgPqE+vJ35oYOFCYIQpVlYe6IPP+wW8q6hj0rMZyc0DoH3
rMN35c8nr4Bh6qbRtvFcBnMWnh6yapmI9p3f4c7Jzq493UZhaq0dspZXIFff8sh+c/CqkdFonQNR
RjQRN9DqpkIwnJx7+glIHiS6PPq6fRLZAAgXsY4b0+8P+KZIoEFOOyRX0P+OzGxgUQ3Wc2XEj75f
PBmVwkU87pY9MkiTUx0YJ63NedWm8gSWfJ/LnLWT124Y6GDh6UV3L8b0xN935abmO1MhumcHUWSg
uP9sp0qvAeFmB20U9psafe+19RVkUj1N4VPRhdm9Dr0WSUFubTHTN4SJdfGmNjLWmXkHuaSbiMey
DXMz8rU4D5WbXPdixpiWN0PYrvtKLt8wCyPRqg6WdWkd+l9miVE1ZsxisLnbDq1k1c8lHObVsKLe
avkwO0vJ1OdXTP5wstvufWeasKjqsd5EQ+WvLCu9GtT0UFQZs8hRYe2vWtK5AvEq5UPKO7+pe+YK
nm7Lk8/W/xJW2L30TDtOtvYXEdHpSpzUfOUwlwn30YyqjNdxyvbRFJ1TDK/kM4R3Wae+9DpYpyFZ
cymRf6FhPpDn9eY41TtwS0Ts6WFIu+9eM97kLgq/iKTuFfFkb3baM6L33pFTrJjWkp1iwUkPxxRt
ZgunJ11AgaG7maBWpgw309r+VshO76va3aTl8DY44d4VXYWfqn9nwrKrGt7mbAQ87b1YZfvs9gg0
LAV9VacPOp/OZTAeuhq7mzGmL1E8HZORr6jWlwFSZlQwcjNzed918w3QlTcdu9cqFWtfDC/jUhWN
6pR487AbBJt/bTaUzbjfZPY+1wkm/1TukRGyCcqRcXR+Qs6KhoJPUMQ6deUDcDBewRx7XlR6j0Tm
nTqHRI02Md+4CVAzILUzCFNkWdodVBq9uFONA8tsDm7hbJfBCBvwi1Py1xexd/Z7j8Ca6MSQ9y2o
BrJF1boi2BcW6gHPELCeEO++nX0YUE1Ynhz6nF6k7sMPs8tOvNabZNYkp9nBSfTTXVuZ/JqiPaWm
cWhc+R7i0BkY2olueAiFt8EPOu9aHVAwJ/Et2IjvYIRwT2PTMUWKBnROLoGb7+uwfizKbiatWh2G
CAAMrJbpbBHUkdr2uW+SdxkyqG8YXtu26nZlYVorJcR4i7U1XvlN5Gwzv3ktySfZGaZ/YwbwfMey
rhfUMPAdRlU7iCJf2dDQ3mBdfh0ryecFG8R2MmnxHJHk3zSTuo3tFDHBH5N9GeM2/P5LffaPsudX
lfOf1HGUICTuQkunCoEcYkkqrT/sATPXKooyNK7T9InAySz4Itz9/99TLJXWL5XUxKdYZj1PYTK9
lahbqhud/j+UhEuH/MdKavkzpIlIEca8uxiRf30OG0gIQOMkujFHbnkgW91Z60e2c3/9p/yxUccr
xKvlUrQyFJIkiJl/0hJGKp0cLxuimx7TXo0mo7X5HtZPvbgdB2slW0QB7unHc/4913F4df+6lbh8
kP/3r3v25YE/m4glk8C3kNShpmNmASvnnzZz8lBsiyW6FziCe/SXJsL7jVUIy3RcCiaV/q+B095i
oUBgzufov8+b+5cmgomSjaHdZahDKN6fTVxtP/Z1IafxxlS3TSS2EzyTX16Uf/P9/dMnEjcETQh6
QlaAGO1d8acWQo4e0xSv729akXKwPxvmTeDeteJghXwksTJv//r57MUz9+tX7V+ecfmNfvk629iA
E06p/iaF90IdF3XBamqVvaxnVHs3Nso/DR0cdZkB7mjlTqZTDShfw7Lrio47MCrlu8bccZQOW7Op
rsSGUT04DD9mlZs/lz7bwaoxQbFk3wNtvJYz6EjLFivm5ayOYeVCdskxkNsxpmhOUNAuSXQQmdwj
Mkh2rus5EDVZloWTLtcJkI6V11CYEbECIMwGyjsSiNUn9z4iSpQYauUlw9moQ94l1udFCNOlJoKU
/cxqkuNdCM+OqsA5KGXdDpA7mN0cS5MtDvOWKwU9h63XU2NwKw/l+zA75EjFhwGi/NYi14kJ015U
/olJlwaIp8YdzVxLHsV0Ub03P3gdPjs2bRjLHhivyYPE0pBaZX2oZWx0d/MPj0NfNEgdcqT7He3k
dVnMGONaLil6vhozqn+WcrwYojjjLj/qjGCcILw2zOya1c6LlQes9zFtrQLH2TV28lW45rfcUC7Y
PXHRlTiB19kMWXXuwnELUejIcurWBJJUhtyzejqPkz73Psi9bi5MBuzjVTuYLzUjHiEgCBTl/OTm
2A9Y0mbXSV/elllHDAD5LnN2MhVaDF2xSsg6dsu19kkGGDJIKFO+bVPvqe4gkaaGGe3soiKOuB+7
fR7aLdT8ejrnZJPtWt9GVIGKbrwRsX/f9o3FnpmAjjhudlZVnMI8ue1L42Ec4MZgDV6xSd/6SYDp
t/vmxVh1LZmCdhu3QV/0EGusDXcjxonprusVxzlWHzmK/dgMO5O8mo4rubDMjVLqYS7FbRHWxBNq
TOhdng33eorvCYo/NtBs/Mp/FVm51p7bPFamgUQ/ab6XgBZIP92TAw1vClOIIEgBjNCnOUZXZc/e
QoCM5AQ72kUq146T0OiP7Oej2zgZLsJNAfkXe2267BxLsiHDq7ZV1DZ4jOcOyq5xzZ21sTE/c1Dc
TaAHYCsgrHREuKsD51k0zMT4hqzrDCoDupLpkI1EaDR5idIhggg7GaesnR8xFcarKe9Yh6mHdDA3
KGT5WIdYC3rf/gj69INtx0XVeYrGhLCRsWUDFbZjAUxz8A8/jpm/Lz3BDOgvL73u43/W+Ufz8a/X
3vLQ36896zeGZhZeY3dB+P/p2oOfgqbLcQUhPb9G8Xi/4XeWi9dPeAtZjvLl5+xMMjtj0hZIhm1Y
j8Fe/2lW9pezsz9ZVZbp2cJEMWG4uC7PtvwSv14SnhVZLLFddWP7sJZBPy1554seU5MHbevIOrIv
3OUgNcqitNkQlvFbAW6Dtnjn49ZXYDg87Kypa9zMRrg1kT0jPvHUOV/YHXy1nidgHn5QgQhq6ad9
o9sOAD9kExLA082oZRcOiEq9O82GFZHznFbmNgcuzOjMZRpmafOaDJcBQoAY9nEYMzx3OZRKs0M4
ZQXbOW2QtkTTBjorOwdFR02m5qGXY7ExQkGCOGkn08TQC9CQu4mXGNRhMJ8GCygnGK7R7lpkyiJb
SxO1qNu4XyV/57padF91AGquH8gFR2KLg65MvwYJEugpJMWwR7uE8oOxSSnCY15xMmAc2KqSOT26
r/zKdY3xHCZEjwFxKteiSZ/I56L1yjsLS1B6o8BiuekE1m4GhyD7R0ZtEoN2/bSMNKvagkrhjGeh
YXE5dbhIY8t+Uxr5shE16zXbZdbLdX+pQJkSS67y3TwYe3R2J7e0yQwdMLgszr8Rz9k8WgfPITxm
ypJvA7rvqJyvUQKhavGIsenT5jXvQKBAt1wY3+c+9lHrAUbEtd4jMNLdWmX4BltFC1Z1KVIQWx7T
Tt5lIbBWh9zCjT1H21oU/m401NfaZh2OfJy07nEramOvzIKMmuSGsuTKcWhzC9GiM+MzQzrFbZ3I
buVnvDQmA4etoP1rmdq0ab+va+fiuTEGhUAZ63pIFSFq5SarjH2TGnisVHuZMxjbSDMaDkJ5Tyt1
YWirts00aHAqAiZoRo6lg9xolYsOM1ZmeqzamWNFLf5rHe+GtLxEInyf6mHa5Ya/jxgtk4VgPoua
ZDyEdRsLSeVUd3LjJ9FdxGDJ0ov+XyNOD741cgToM7S8hq08RjXKf7wh565vbxLV1sadUl4+f5Jx
kR089NdBVj1nIehX9oRX7aJoL/tlX9YFbyoz7zu3+eZXE7F2LLTmaEc9BlhlPAWdsWtM+0rl8XWi
1EmnKA8UkoWSWRA5Tj33cT8eZeh+Z57XU4mNjtgnfegRVlAO84Mt50tUU9lYeTISfUG1MzqS5xV7
NOv7camHiIk/jBRIjfvWLvVS0QdPJTc1GVZXjU0WbtG5KKod6MjzbT/byP4RYE9uf8dhh0i729i2
C+otgUQeUrA5bXeG8MD0l4GdoqTzLG+NjORhBkm4kkvVFy/1n92QaiMK8lqDyKIAWupEh4IRojk5
sksNaS/VpFrqSqPnk1NW+BbKpeosKD+JL331RPldUZYWS30KUf55JujQtTIH7SE1rLtUs2YTeis2
lV98IANn9lQXtH0cE6Z5WyhISr1XWzejk3+S4qG35jx+9i1ozULqe4fV7tEph3emPTsA0q9T4sEV
rndBi6u3oGJmitOKPXCelxJfP5YF7nB/QquumPI3t0GSX5nIcJBpDGu3Dq9TMuI3hMseiGEOTp7h
Pvl4QnjmYe0E4tEyXXsfszXbzLVVAStK9bY27Ivma3DrqeCegvRA1it8v3wg+xR1ro3oa+HY2ojN
ug1/K0OirBXrIKk/4hq6YDehpZR5voWd8D0KviaVd992zn3Ga8I9YJEtVuZUT/5t0dk7Mwb2GA6Z
WKHMByI6o48dh3Qf10yNkjSns+jIeOLH+T6oO9eF8u9G1zHAGZAGyXAlDKvc8oZOB9fW9wvM2ioq
wBYqQYjml4dAk5JKzRodNaji0IBg4FzFbI/AP3jv4JVYfhbNKtLCZYKvd0ZcP9gJxE+EmhiSZL/V
eFJg/bZfM5ukLQMhSON6iEfq+hK1+APw0jz0rj4Ls4X97dT7HoWkm1XXDCzzY2WNN1Gn781JbY3Q
mZj5eFeqDg6GZYyP8Tz1u7G3P7MAX0jrsbaNPbiKC0jq73rqxz5y2Rr+RT2VfDb/tpTiUb+XUgu+
FxQM4Dn3H+a/38Uh1m9UMiiMHXC81EZUMT/XkMFvEGCITWZ5R930hzUkwPvAouv36DKZFP13Sn37
B8/gn6OtpbP3bI/unnIOIjBQhT+WUrMTF7GtEtKTUDbTW83sAq13FX0zMQa63MGNLM+JPyBIHAME
UBX/3sCIRdd405MswSD+Pu8ZLrczax2DBK8sfi0bd48S4d4p/UsVcL+13pslBTt/3W1nL7vqXHYC
fMBRtUYoxXX5iMMezlxg5uu6psIxk+oNlehGuvaViwQcwurHvCgQ0/nVFgabSN2dYpdvp069dYYW
t2UWskrL+dWKvMNIpgTOnW5plN9gZz3NvjrDm3/FUFGsMtf+bozlC8v65wwQ3Er07q4JjN3szbcI
3rwVf9kewX8PNI5wuwT1mxP6ZLiG47FLuAyMCQhvKfZezZ3WIuaYCv+5Hm1NgTF5R0Tv1moMxVVq
5oyMR+OAgl2AWGjCQw9nXgl9tJGxM5S9H6v+fiJV7Sl3p4+84pCTtX+KYvOF8ABSBWCvVKa+RFnl
4kDzjK2blgf00SkpGf0V8sYjqhx2IyExS9Y3Fm3vUdg/TRSh5IUgZJj98T0zgbTmFCO5Jz4dj/Ob
QefTDxLPiAgd52W461rSToA5S5jh0yFtp73vj9sK8H/f8ppFUQ68fYpSieeCjWxz3enOirchDPE9
1HdXs3BKJpZildkdlU9R23kB1a3dsSepldl4WzsRsGra1umCj3yoR4ow1+42MjN1sdJcUGJN1hIk
+VxwyHJKrysRwBurAUMr52sZN/WK0tjeOAjzOBoV/zWyOJrbryg6uCay+jvaW7lCCrKZmGBgTsK4
FLnZvbeYHzzHuzZi2193dsXPQJGsjPg11+Kt9PW4HvTwgA0vRr9fJRtYXd/Sqv1u49uYO5rRwcuf
Iyn4KMCBMwek2xmL+6Y0ki0CGGcr3IUFDd0fj8VBxM2bn7ndDtxcvnVD/23quFUqwUJXeuM3Zg30
yzlp2VPREfeVtD5JBEF0ySOC4IkN25RRdCox9QmNJLTg80JN6WbzFZnp+1RVd4OTsjmBRFstEHpJ
aCKbz5WHMwQ8tHwJl8Bil3/xrfElmuu7JEQlLYz2PLZvpetiQZ0MdQXcaU42/Ci9Mr1sYzAQQp2D
59KIW7J0NFy0kXec3e59P6nomMXIpmV5jQ/upMvquwxIys2x5pm7esqar3/fKz/uFZdj9j/fK4+f
8Ufxb1r05VG/3yuLhoValIb7J4zn93vFIUgXKSIx3YyFF/ngz3uFcD7hcndgtUaQvHjA/tmic+Ug
b0F1GPzQHOIb+y9adNdadhV/vFekxITMczGiZnyOKf/XFh2OO2ms/Bo3QxBn7SZ1IJK6Jm7c0jj1
ecTgUhCVZAwTBVp/1ONkrRQgra01BKfOzeS64trcRen06BuKsicFJFxaSb7CbrFN++prZGt8ZXPH
0GoPH7U3No7RP7f+LO4nbAN72cjwHIuJVk97G1nbzrryhuYCsrVH3G3HUCWtL13YfjehFx+IosXW
nYJHlarNtonmVLb0nYeb8q7mu0QzOQI8yTHRNKT7rfKAQixC47uagiqgwi62vs5AovbGwUq9cJuC
AV35ffLNKm2NUXfha3dlOhxkG2KNrWbglE4WobIurZvQJlVX9yX/BuDx4OFvXlU8/ZzkWEeBkvEs
NPkzS7ZV4/jo1ZyRw5xhhIr5HtqHrgE1iFLto8sdqD0RFirVDe5qCNN75bZrNtZXg2ESWSwh8JOL
gro+JoWp6QGn9HW8bmLJHMQ3Fhn2Q9A0hyo2/aNbz7fNmE0bRwYvNJJfVaOua5bxWNHiEwqnW4Bt
j9FARtOIlXfAFN9U4mj2wcVtAXyThC5xWwuPDk29pmN+wlj+ptMOXUlgfNeRT9BoR+RtPry7ZfBZ
lV59tASlcFoCuywlL8uQE+HnxFF8TsgfY2zQJoDV1K0/pc/0wgX2We6/vHT1FqHpuC1UCTOxbV/k
0L75UpMebKttFuGpmKKEAUlePyvO6F1h0oxpX0ab1tSPirc+z+3BWScDafAQ4xjWMsBeR6K/rVr8
IaY3wuuZEQBW3SsSxW8Q38UudKxvFSl+O8RFC33AZpLvsx8ovWEntROu57qNeHpcv71JiWWC5MT3
a7GjroRzNIgm20dIdNeOr/giKP/7hIFXZO0XZ5mZBiAFtlbaomSX7XekhpLfdirWfPerdVVm+Q7Q
NRiFkCl0ExCInPAdCTXA2EHF8ya0SCHIEbBgN9xHA7KS2Nc3zhAebLfE3FjeyMw/Gkay6+0jvX04
XgJ+Ziu6h4oVxVpOHjEv8sULihucRBD5nXTahKneZ3BTzTr5bMvu1ctjptgaea1KK1D02AfWCuzd
qkvLncqqCxvUfYsjpo36Y1ZH566AW2/Z7TpB/2LnwwGMPuUV1RYWb31T5PZ88s38LW6Ta1cSVCnN
0TumtXe2g+I66ap9bjhMXdoJw1GWAVaQ9KJRbPkA6K3k2KfJ2e4TbG7VW25pLDljiwXACp+E5770
TXtjF5nYx6iHNzq15NqNAdQ3ZUfWW+Qx6eq7fSRQfkF30Wto5PejDF8ALpTAqXCTg6fl6OFxUZFr
omtyQM3ZMZybz7p0xNae82UGZx8Qz87rmChg7OBZvh66+MUOnbtuxFLiJP1ERmMrNtnQyENWm99d
EK4iSc5JHLPNyGno85LE8CJ5m6XzGIa8702ocLV3mDwRQN2jMCQzEohT5JR3toFwy5p9LuV+3y0S
mrr0Q3yFw13DdCUs7cchbild4G547IswOSJG8Yq7vC7JhU6MUzzmT4nblRuz0yc5+dthSTlmvOqu
05q4J1mSUJdj/dnMZnxBR2TgElIa703+PZrDR0iQDCMsCh0nQXWm4/RbUxGMqohkNf1x3tCMkPCE
X/RqjDD9dH6180ZyI+Z6vpsYGW5h7DMQDKIHza6itxFThdVVEBTDTlT/y9557DaynWv7VgzPS6gc
Bj7AYRSVY7e6JwUqVc65rv5/lsLeCuy2+1AD/oBpwIabVLG4aoUvvKE8oNeKnonieyQJyUDbw2ym
sUnrhp7QTUIMgvjWGhuiALyx30xtWpRmk1yrRns0okI8wXd0rrf6ogSShZ7HYZCXRLpuvT8yifDd
NIMJadIS0uvdqOTHhsee3Qs1DEKtQikfamQh655MpPfmVsDqrAbEmDTlRwYaDrxZNOkpzLkRjkk1
u6lXL/SWSQC8ip07pwsY2zMjAkfdD9YVDcLjUTceopqNMtDMDAl8AUGDMlkDFFG0DqPCyjktndFb
qnr3LWbegg+kR2l1pT9tVWnCQjunW9MSU47ADgdvzdlZzrPAbyaST1UA/CtsZZuioGRRjimr8iaI
lEsjbWKYes61YtU/wogwEdYVNQK8pBDHzxV2ENhhqn1L2tMvS6dccH+38JaySWpn95WLwpgTKkSp
vjaeIFRs4HpfnHHmAQbkvS73D2sH6DaJwlTLpQyhiObeFbBv2SruNcRowtBBhVxyKepg56IA85ro
3uAvYGG3ICprfeKGiH+wyoqpaxsnPlC2WZ4HKcU5eIyNtz8guja32CclVBg6Kb0cstEHRRr+xPjl
zsBOieQ2WcIJXxJH8Azc9lKBTEQhtrAORsla5bVQqUipoZMYWZTlR3SRJaU6pWg/84bkMZKjbIoI
xmlv0V2DonokY2mAomf+CKHUo3Hg/OiEaoxUJJR4UnMd+cCbcgA3Mjii8xK9ZHbzynGP9dZf+oFu
4LdChXoFwsgpTrI4znxzUgYyyRekyHacy4pT+M/yaf/tdxkEsL+Jo8sAJ4Hhc69L/NlfgTQUHYQS
FCwDRBFGoKTfBNJPyCVDgTcDtOmlOqMTeov2lqUA1NEIuQiwXxtdzh7/joAkgjI0qVDL/JMomjju
UxTNlg8YXXX4H0BUfNPbKBqF7t4siio5S8E568eV2rAjDU1AaYDWaqc6ACtbyg+s2TsaEj9HsQJ6
lgKEUlob1u3Qdv48Z7GUNIQKsXqAeMfosVgnslhZklhjcHRYbWLdGWIFqmItIml+IonViZRMDXYx
O62G+l4SK9hwuntdrGkfRkQjVnlmB4e9WPeaEx5LbASlnBmzTOwNfg2Qshb7hTWUqL4AriXmvG0x
rx6TaFjKbDISm42PJRMiNt6+ZdUnKU2RSSS2JaPofnREpXE9xNOQnUsz6huPUtsSVqq9hKxqnnq4
oGM3g28SKm/lXGEXJKvNlpSXEEFhhwwQtct0ghd/VC8BNxQTHGPPe1U+SGTjQa+TpVZ260qHwasO
0bTEwbEHC4ATE5929hO5vGngsWQ9HXWMoW6yyrxxwlutozCua3eV49yVanVajsF3I+vvIhhXM3Tv
RjqB5pnEzQK+6PYTP4CwWEPJHqXGW9DNuqwC7QQE8clIk2wayuC8BzUG4FvYySpUqmJiKEgPUKI5
kwwULLD7Q31R8tFj7pXD0De9ZSg15qLw0EKHOT63q/7arDAh71B7xInlwM6AYsvEbvmgo44YFUgm
5qm6HOpuCUobImLQEBFjvrqMLL+chTIOgGbr9nOjUfGYZKuaWoOKxHv3zbUtZHubM1NuAByl6HVJ
TrEscbuBVkA5LIIoBaVp0tcd9NtuBI0nl6tEwhqxVCV3CUTQnXZ4LMgWgjY8Cj4JeVsqL9DyOes8
eeWFVj811RCMKPKTtb7vKMAvo9G8rmHMyon3rcrqBzJfiYqfmiHEiYxIWzj+wm7GG5jX+cxTMUGy
8u9S02AAWHXXEns17U0cxUZw/3OtjS4HScVYQcVQR1Gyx4S4FJvM/FgfnNNIRxOpHnoYYlkHPL/t
5r0NLMbqEIGWwtLGESDAkAGfn65G8CLSyn5du3k4kyscZLQSQwktCr83ONPEwbVWC1aAE1hz1tpM
11tiktqqlylmTROjQ+O+V1R3quFsgB/SsQ4pe5aEgTYbJekcWoY/H9ICCLJKzJvCsKW+irII8vLT
3htXRPnrCO9lMdcude1AGjivKIJKXnmRWdUc8YVwRiQ5tzGlQC/uEWYLnVFLfyxH+YdTOfgMxSc5
rlgqUjMT0B7+3IQZTUkKHn5TrWN9TBANXaFTDQDWEQoO8BqYeyGRtz4t7eFRrcqfntQcdll9HufS
MTzqaIEN72yMAOI69DAVGV9oI+3USYjjDiVeH1+uun7MpYQsuu9U3JasdVCUP1H+xS8RhYKJmhGy
oyVuHtQN3PbKkGza8zTkORsn5kAY1MbmXa3Y1FRhV83YkA8rqezpfDYgpsf2ANJ2O1VL78L0+3UI
1Y7SW0Svuqhi3CdpFFV6sW8mIGT8YBR42csaSRdB95vHvd/NEBnDDiE1ShZdxpKwTZyWgnCe9S6H
NhZleuP2U0vyLl1XP81y59Jx9X2tH2yCZAfz0iFGhSM/8ZDhXcAMjm+QWQrw6QAHJlsq/SGxsI3w
O0LwsNXaDhkcB/Mt6hK3fZqZk0YPoEmnB2zoF4OetfsFPXp0qprznJgS8qAxa2FaLGHYo0FbafrE
MPGnt9MD+A/6NCpihPja88DQoQKSILgBBqlWVirz1Iv527a9NLA22x/T5pbOOETwvHQnaqr6UzMs
YGaM0qOjE7fXfhksbUc6T4fs1tRY20VsoS6SCOc4aNbQOsYU8K1DbSErbtBnd6e1DSo6GdCo0NCk
nfgQlGYZe7aRp/IihC65iAUo3gm+w7BDFcNNF/hUIRzCI59w3JXTTgMJXvfAtVArYkyRSViRHyBm
rqNYixgai8aAK6m31/4QnXecidM6hC8ZGND7DctATAQOy6SxqWo2If9mx8LDVhrRYtPDY0RvM+AF
WNB5cgfdJTKvDZR30VW7NzLjDGebh54e4wTcI3QAmI1dCWvIbNIjAMIFtj7jMec/eu5Wug/Ba1XH
eTnVB7UBly1nN8CY4lU1FteaysKPU+27hCIcqpj3XREvHDe85rCXD9G0IcW0nVUFttgKiivsJPY1
CS9OHCl6xPqANAx6t+8a2kRwtZAI0pELI+KfqZZ1F/QZEgZQrKZFlo+LIbMvFDcp5gbZLGDEPp3n
OWr5bdy4K7kc1qbEZKj9Vl1EkY0tFomu7UoHgeetS6CjHlQawFc5qnsZf2/lZ1kESAtVJG8Oi+ou
x3RlgSzdD12mtBUW5pncmN8yrM3dPO73R097DGWqFVqL4YaqlhCE+xRjNQtGSW1ilCxnA9MvxIdV
CQZnAiHmh1m1J2BYgjkgRKxWJXZtf6CGDrOhIxQP13KqHqOR5k/rwA2J3PPDoMVnTK/L5TAinNdo
wthUjvZDGqFTDNw470SlvVDddJohMDA3Hfve95AKwtysXAAgkdEjaNsZYkHUDkaxq5rfEySg6XEg
3J8U0pVfdtcUU0h2AmeadTEtEFhkXmPjKFZlBd6A/mVtIh/oxvWq8ZpqmsjOtZ42Z16M0xCgAcpQ
uYSsn8l60tp60XtSjNJEupKInFiQoYw2TXWbe4nwj2TZ45dAixdEptxRMQoeOpo0Um4+mrJ0JWk2
h0BCXx3a2qMl+vVqrN61Q3nocJJPBsu4q1priV8BlkWecuCmWgrwqMUH04y+e0mC9FxfqlO7Maeh
lEAwuZVtchkHEoStS9lEacKDXEhs5k2ID3qA4QhUtwlt8R8eFgmoOYZXCsnMBFDuhZWA9VQxJdGd
7nsvlHVNf4SRkmfpvKg1bwqcAuRFVPBzdHgedgdrLsv0Q7ugamcP9M+sAuPlrns0Vep3zJl+7kXa
Qm6bm7xl6fqlco7HGl7Fg3asmQHlOAMxI1Aml2bAMzIsqBKZ37NPl+lxr5eo2Jk69cj6LkyGaorB
zfeix2E3aeTrMQ4O+iG+om2YzDrIPJkl37Yt1kd2h7aRUyPBiSbbUV6Vi1Tu7Yk8oLoI9Ctj1oYP
DrGx32JoR5fyYUzKg9Gh2umV40pV0xvkLma1FV7nLY27iijPitj6EB5BE9TpLJBmATfZWEu5Lx9N
n5DOynqsJ4j5WlhfQRzeNFa6cl13hhbfmibjbVg3p7peHODdpMy8pF+gTMlJqWETXFgXva/MewNi
s1tkl5QH9mmRrRwDV145PKvp7A+BgqiQRm/IFS6q7RGw3lUT5NPYkFt0+0IFdQnPUqPzOB3NmwEN
T/ukkLArO4+NGpbMIOALRi79l2jwbL1g0Nr4TQ7aALd82JCCCpXidVX/65+SgiMM5BhKMQg0kDeK
rsxrCgqLmd48BGbDgX/yTs3P3CMgEsmmIcs0UsBU/pWFGntCawLNdGgLSAEC7fyDXo5qCwzA214O
X+woOmad/Dd8almwfN5g8qH/ygXc++YEK1UKYlDJkOv1SdBqayK3UFXLGBIZajxD5h4Hpd3NDKWr
pmXaniVVtrIcVyKGg8vitMWskoJDv+EEtuBaZYDlZTm6bwkSkaBsOVYkIL9upx5no6C6yaY3Tar8
FD0cCGb4zFf6DTpAIDJ9h9q7kN10pHER65IE7dWnK4wcqIVV4yTIw28ALn/mQ3bd+qRWWY2+jGua
38oCCbw+/V470nc3hXwLawho9HEb+Uf0sH9WmU3Y61hnpWZgJuvZ84QfBno5MJc0nQ8aJfuB3syA
64o2cllSxiLu4HB114Oal3Ov7ha6Dn5aDfHz1DsK8oih3Rc+kqV2bB5VdXzVkeJObazLjMi+yALn
HiDeGU10jAAKUhDZC+u523Undt4iOJHe4Z3+wy2QMs/SO8oZoKaj0ps3qH/tV0j3ebmzH6BsqIfe
z1iFJZnHdj7rcBamFJfddYpzDGahniUD4Phc1cbZgE/WgoJTOQUBfFRXSFHo7hGx4WykKkos0S3k
sjvwHGdfkCdx6HrE1vUB0fsrDb4xOrs3iTeig2pxkzwkRy7BJ3Q4GaoyyZraF+Y5DZhj3+kf49BB
Rwt0aSa78rQpw2qCCup33TMu9BpXQzuIrnRPfWxUs10Ngfhzgzge25ubRGr2q8ynwW2YxB5QQWnW
hTT84h+QNSJqFc2J6hsyQqpYx4McMSYyshZIIi1kC5k1uPHLovYz0lOooU3OUwMZ1k1Vw6QIQhW/
gKFr4qi4dCtCC6KnA8oS3qwMEUs2uvHCio1llxqLhqNsqo8I++GiC4m87pWJjYDYjKosVXALcXl7
ZBIPFc8wUXNv3pXjJbR2vjW1OXHbhSs3l6OtHQQdmD5LpbNXFa4382Kwa5CC7+qsv7EpaE0sM7+V
lawEYOxOy64H5ygH+2hL4Lsm+fsyLsAzyYINIMvZ0hzkpSJjCgA13tmv/W7AEc5+SMLiiMy1neRV
mM8pZaxMbxjQrGzTOYfKdVYYMDIARDIbkwlJyG0lBIvkUjEn+gg4ksqTeqinyMX1cPu8Vaw6vjaL
ou67akdlOy+lyg++MQxufarWFqQHMzC0hekmcnplkd9kM73OkbXETKPyp+QF1hlFqQChjgJ2pFb0
3o+gyedVzBSa6L7unuRVRYGEmr4NLkI2vH3fohPgF7Igihv9Ocx9HI6LQJv3Vqsh3GfH44wGXlWs
GkuG9l0EUBqnKD/E2LYOGqDwGPCq2RdLOdTUm6ijAXccp3nDPhP7yqw3rTvZw0+Q/uhQghfpqIIJ
m1rdKFAqUy3vSq6tuPqhuq3HCa2NKtxlOTHdn5ERII4nYzQo0QvukZ97OiX+W7LFuew3x+WP5na9
4bDkb14PS9SWwCjoLFyOtycqwV+HJW+hOYsbLJA6m7OPI/ZvQJ0J5tTguFT5yJOt0WvJ1kbTHzNl
h7eebGH/qGSLhsiHw5LvQM7JFEezY5ioQr0/LOO6rGXQoPJpHWY3NAyNpRlp0qEqNfAQbCVHMqgD
5p8i3N1HbrXIAJNO60o/KDMD+/GUykegO8ZRSad5otuRMNQ0l23XXMZ2nx+XozTNWxr5tX2ntLiO
qkmHvhHA2xEfYwc/YzTw5Bnkm2UjbGJSRzSLO/26wwVZD/z0qvA8dNrz/A5LLiDN+XWp6Dn5vBZM
TNyU4wFb5awiUyxwWu6F5bKHGHd6jmLKEgd6apGaeeianTOvO9mdJp3kYuRd0omLEaRz67XVeHdu
YkMyH1Lsw4a8WNmpg61PJl0AzY3PnBpmVWLCL4g1Tg13sKyZi2z+lJ4grAp3oDGtl2xa2n0VmMi3
FSd2HRCB+9FNoGpXdebkMylUH/KIpr87etclu1qA2FJjksImKNm5hXNPYJGCXPL3I6c/T+XwuIJ0
n6TeYTg6Vwry7ygpiHK0Kl/lFkJ/Iw+h9vN6GrvkjmptrIem6pHHr27sDtGGKgcZX3BwwGE4ow+n
zHw3OA8ccmQp6ezuYBggvCOT/SiDjpJBSdljcNgK2JQWVheNCTSrJwhHRJyEzAJlFQIwoBUbzyzK
ZYI+1xQ8MNWieIuvXbRvZ/iYBmllnzpqPixjqIsTlBBXcPcc8MHlg1q0CFOOlncuieLaGBg4V7do
zg/qY4yWEa0lExEnEM3OCQKA3jRNywiZCeQtagMJ2JTN8MDD/cCHNTKVY/sUAgRdf9OhzjdQHI1g
WFQKMU+pnuRZDkcM/sOkDnSKNQ1cEsWQlmFPoknO/9PM/W9RBOmibAAiqD5qzypUkwr3PhrZQDns
CkkxQIKKm90mCNs1iqYfUPU8V+z8EbnmeeODkoC8N00js5zKdamtTHzsczM56Gtjrnva6aBEp0QG
PfovpKFyFn6XO/faSHAspaWWTX3Jui5rz+C21SM3VyukSqjU0jAWeunyRTLUB3IXLIsovAgCb242
8Y9OLm9RL8vgzmEWMFCTsMuomUGMANEgp5R6GFxDlw7AouhLUxbkGmeIyLWtI7lQ7mx11GZVPXzP
NbWZtEq+yCtOvqwei9nQt6vIHeVpm8onXdzd+oz13NRyl0Z4UBAC5zdamh87WUWZMVuEPoU6Gx+B
WkamoxT13LgrIP5lGfJbzWFPFR/wTBxBUjXu68447gpwp4kdHhUuOX6QJ8hmqeoy9KufdlgcQsC/
VqLxmyJV59wfLVXdmDidgwsGgHZueOaNbTdzlOjYLog1mlG+qBzt51A7+amnQ1zCbbA/QGhXWqHv
SYWBQlobFZd6Iz34eXRhm6kxzRMqghNdc6uVa3GVsfSN/QTNw9JFKjvUkGZMEvU8lClj25puEqtV
yJxlVoR/M5N4oD4Het8C0YQGGnIG8QzOFN0Erz8PEVHCBkG+s0fojP89Z58hhvQKf52WfntI62YT
dl20GF+PWsXmPBWgcBqTiOq8bY0+5aVCDcHA4VR+Isa/HrX6HobVqoXwO6e0Sh76d16q7XHEqkjT
a4IEL976g7xUZJ1vs1Jc1UmXFYGgVwyHTvv7g7aXcacsy5SsVCRg6K55FeYGpG5vxuXs+YJvJSyU
J9mFD18EaFLXqewCkZf1D+mvEtdtYYZ6juK14VxHfgGmLbHiYdwH/Uh3S6vTRl8hJjJewhzBSNRU
cICx0aTPsxDLOG9wDhUryWm9lEZ/Rk3rQhsy1N/NwbOqwzYKK+1nS8Jkn3Vu0baLUMn0WYuH78TE
Tx1/rBiifZDnmTqnGNm0UyRtsEkNKpcCVDQ4cwNFOnlWpXdGrHcnFqr6p3oj5/FUyaN4WGRur03j
FkhIjAAXMJQu007lVjGiozYOT8saBZwkT3tKVmeaIj8YVX6fIrbrVvKVhTpJ2mlLQzIz9HD5FYCj
5w6AcSeZG32ycgfsUrQoCWZVqczioXj0bf+Ccu6JouaPjdZexoqHkjAswh9WBBvIgZZ3LFl5CfnM
MA/iADE/bETm48henUqS9qiHVbqvu/hepHWRz5GZIiaKJWOudjaGd85JlcLZA54CUARN8GWdWteD
It3EKq4nWejDm6lrTwXGD4WfaYGQMUWPgD6YuATEIIXT5brUa62fmXbqX1ReK80b1PqgE8j9jR4H
A6OoZhAXIkqqulQOs9AYLwqzhmZPQefk93NMFX38D1NMVw0ZwCRho6gCvZ/LxVASlSF9cIKw7ppD
R7mEtj+RJsW03k/3XYSjZt48WVpzlDcnxoG+0OZQ16b/1sxM6Dn8fR8okGiWRenIMQ1RVEKn9/19
GD1cc1xishMkyw+G2O+nkVe46LXrdEStyJkXrSvo/SaJI3bzx55VugcKz8iMimQ6WMOJ46LayXn4
s+4zZ1GpHJV1nS9ce/xpGS4Ogi4Rmjv234uYAEwti2FqVXAyAU6psO3pVBl+Px80Z9kpKbgDPF10
24WK4uyPGjBYDjZdN4jDcOGmSEPgkaT7NCZmmUZMksn5vOu8I9WF+RBh+DNrkWtKkhCqbFucdIC5
loUXEpNo3rVHHK5oyXHT2zJBQr6UIyaa5RR0OeTw8veP+D0eWmi7wKOW0dLQsU8lF/mwiTij2jl5
4pYncosHJBsBvOUSzWIp8OdGBjlELzwyo7929A07l6p9fJofvvPD05T61irbyKtOCk/7Ybh0jRsP
6F5l7etJA9feJcgzYQtbMC2MmKI3zcLhaCwbJIYk4ygL7Bs5oGTdVtIjOTEy1cWxmpnnsjveGV7x
M+mCYlbg/3z4dOP/zX2FT8pfT1CY3b2Y2AkHm3/98we08w25L3/zeiCT4LIuARwppKykszzw10Ix
SjXQAagFYw4usze9yX1JcOEJQBgTaa4gfP19IGNNR78LgWIUMvnQn8GVwPW/m3CQyUAdm3jMQFqz
VBj63MTbQnFddmEaq2F/mteUfHMbprpbXtVq4k9DlfLjqKTZVdAqMRWjJLmsGrfcl2Sl2W9GF9tV
WIoeCsP1pNC1EzSV5Tm1qZ5tJYTParbQdmRk74v21mm6/CobiJjpc/dnDlYDU8Jca+o0bnalV+1x
KVPjqVMc2DCaPk28AsX1LvUuIIely8ZQtbnXusqsUpRr0sV4P461ZhmyO2BittIG+8ormnLR62gG
mmwhp3HQJ1PCoJ+SbNKF7uxv6agG1wX2I8c+ee4CNXvI5hGHqMIQnAaK7S56uXb2iywDAdup5qRO
8P3ocsuZxZ5G4yYda1qO6DAjjjHR85BkvUmOGqD5kSP96Ih9cOtqsB2nw2n4ZJSNPo8sT56rXnsQ
lRLydfY3RvM4y4D7yzXHFV4yySSN/J9Gq697EyACxYbvXhF9L40U5IPvITTjBZe1TpCtxRIN+hRC
s+l5+9HISS+ZyYPm0TjrU/PARMYFKCqMB2zIw0UtGd7Cdzu0O43xBw8aCU4zv8wk90SPh1ty3X0N
AT5+iXbvDtWZVKXtUWTbSM/Uo0x13j7RRof0wx1PjIxHWuf9rBg68OXaraqV38cuupPcnF3c9w+i
uD81O0BsVi76xR6iI6jpr5BCMgBQwonqPOcUAEQ9VRMdToV5lPUJBGtLAzSm+D9ybzzXdRh4heVP
pH6UkM6J8NwCrjw17SKyTzEECLVb6kXGsLIogM8xIjuEXjYCslZKb4aiZjXxLeNBqoC0NAJrIg2L
J9Kc64QGOOr4ALvgcmLhn0Y/VDnSLHyC4hbIlSsrnNiGHSwHI0KyENtDeNiI3htGO23tEvyIFyE0
kOuAGfB0CBKUA7LQWVCzoGgdjQwy4d1KGqoCKZwI70MW+FRmpmpefhGnKWIQgb7qbQc3FRRUr1Lf
hdKlo8yUpf0EwyLiPMcEh+bST9blFLig+zAA5QoApK0iw7gqaxceRVpP0XiaUsw60SuUWxAyNGn3
NjKEbHMl2aV+atW0bAlO6mmuBOiAlvplG5GNurVxJCNGPXXgf09lyTgo4yY4UIbssNBjZVVk+H54
tYMI9E2luKdS5y260eoXtESWNe7XKHQn5bIawBSCO5zZRXzrx8bCznKWOsskzxGzVpPkZ466dW8h
cx1Jlj2LhfS13yGC7Qo5bGCzMOWolFEPdk/agnZ26JhzdXCwSktb5jkhAgoU/fmggKxAEIpexzDa
k0ZIcctFjS5/lenLwXMR6haS3XmRHkLAtOaDkPOuhLB3ESrSUs8Q+86K/NyUQESP6ICjJ3QDkEk7
U0PsDdj9opVE9W7qo4cg0fzxhKC4ibJ4YYXeY4XWuOOzjM8t9MfHUCiRp45QJf//5fx8OeI3+rj+
JfEi3j3LAIFdZZ/MXv+jD70mjZsv9Gtj2LeHK2r0JIzvDuOne3pypf3dJeI1MJ3mnvNas/Y4V6mF
KQ6+4byI2uMs9V7eJg1w9gDOkZ5yXj+93j7GzTf/2Q/3VyP1fx0EzmRyf2DRq/t//fO5gy1/LBX8
JyPBdd4MhYNgkINsIYYGTy/x7tuhEEJ6sk1gILJnRv3NRPm//cD/ZKB+/Rg3DIJGMPPH0+H9IKD7
94T5hvP4+rw/DoKOSp9hv2gT7t4giG7FdoMgKKbIGQjV9ecXMer7QZD3TN7W6c/s6EyQearbDYIG
akNRYZCT7T29yLPfDwKBPFsH8pHsGTu5HATIY8tBwMaELMXB+OQXg6DuUd+3DSqLuzoIH2naf74x
UkJ1UPFgSWweBM4ISi4WmpHPm/Du7QmisLrlTMCtlDqyymzfPAjktRBsFCrGz/vPrg2CeHZbD4K1
R6EcmBbFn6cX29/7PUHdQ8SV9P15+9m1MTBkbft90QbNxnpAS/cXY6Ds0TXgP+yd4rWzu+PzjT2b
cfwVyf2b2PF9sEDpRZRqaCx8nAcyO8KTFM9zWLmzY8DJvuW+YAsXY7YFgWIULzFC76JGYgWmCifp
bu4Lotr2BYMgtMVpZr0MwqeASd2jwQWgRMyU3YwVto8alT1LtD5UETCI16fNUSfB0DU2x53dHbeP
FSCPgk2i+PhyTH4aBHmPuBkYrrarSZTonW69J1jQcBmE54kgDt6PewLxJEgtIa7Oa1e3R3X7iMEW
jlPip77UFz7tDEDhBMAbevDza1f3h+f4fpvTErA7QHaDmvdfP/XdrBBhNH5ahq3s6tIQqP4tl4YG
TUDGfeJ54m+oN1l79G+BMVrPc2/3QkjhcrnlIJBa0+ZSEE7/uDGQTgKgRMlwV4+IT9DXP08nyaQo
r/DzfxUxUVhA2stGFmxHNwMh5r3dFKDEJKC/Okiij1NA3wNcA10GbNHTa1fHYPu9gKAQ4qshdv+n
18ezQTH2UG9nppBjiNeuHpP682Ld7mxAuA5+kmI+P/RPxTZqzwjR0Tjf1SxC+YpBQOyPnRGBx9ep
//6AFLmWY6JvsqvFtk+GPX++O1rCgYBWJYq5T69PATQlFhU/H4jru7ozPG/b2ywHgyDgqfT8Eibw
U9/PBOepLktF7jlY370oQd/6iNB00DAyLQZ6c5uXA6057FEFpvP1fQ6l3RsKZfvWnLnHk6awqL8s
io8JlehS8h7F2V2dDwLntF3IQKsW/SQgyfovWrWqvKfZ2HkhsrSrO8P2DRkWPvGCBY34KST4XG5T
oUIZCsLju3pQCmDsdjNBBI+sBxRAXhb+hjPCoXHHxrCrZ8RL9WebM+KppGgZRJAfDwcM6lAUBin4
slvs6mp43qu2GQMd9X1V1QB9P58An4bC3sPniCI9K2aXI2jxDLdbE5pGMkGZyTZ/1aSkd2VoxM87
m0a8tJC3mQ/mHr0IigfWC4TlY9zEESGbtK4A8+zqoti+usI5KdwgaPZtXhTgeNCnEIHVrqYR6vbB
41MawTywXzAsH2cCEZNjoq5Ox2ang8eXXsk2i4KKomyiimm+FFQ+bpIsCh3VNfbI3W7YvuBsthkK
UXrjcSP7+Rw9fZwVKuw2CB4Igu5qHC3MVrc8KSiwAeMjPHgJIT+VncBEEj7RttjRPfIlvt9iIiD/
ShYhxHBeIshPVUh5z4DNpTvKruYSL+30LQZBIzgCsGMLKudrdPSuyiAAn1BD6ZDvai4hSHhbrgYx
CEJl6WVz/NS15qCg3kQT76XvsXv1BSFrvOUgmHtYRD9Rep9nwsctQYC7gC/AetvVvozoI2w5CMwE
EBw6RZRfDAKVR0CvMjHFrm6M22dUzHYE+zB2eYmgN8wE9JKxuN/ZQvwngt6f16ABfFoU4XnUH1Jr
1gFvWCjC7GphQXD/t1wHwHTw5tXkX2F+xY7o0LMy5V3NH7TnQ3ubsxG3Y4PTkWTyOT34WHFlJmC2
J9PC3NWzUdt+MyCTJI/UsSj8xY6Ix7RDVdpxnneLXV0UGGFtuygMFgUS2mC3nofiU+YAzJFmDWyA
XY2aX/pl2ywKMklqaZSef5VJKnv0JhVOh11F8Ohb7wwUn8H5U19FUeXpRTDwMWqm+Ip9xEtIsnsB
o779crDoN8nAdMxftSGEwpsovUJHF0tvBwdh+4MSGBNKdQBVnusm8qdYSd7jTVqYpFDitavb48tq
3WJnIJ8G20dg/EqM+HRcqsgQAWah+rqj8+GTneMfh43sDCB1TDoSv2hYk08DgydiUJ7P012dD5/U
kP94KDQa1hoKUuB1nma+mPrvNsmnGFKcFS994f9of/gPPvQX93jqB/H9EzUZ+7onUscz2/TffuCV
k/v5Am84t0/M43efvBryh+drPzNzxf//n/V9EqSzoKrL4K5WnzbBN+++bopP3/Ty9y8/8fOXv/uy
19/1+o/7mFivyzvE9Z5YwS83+qxI8r8xwiT364+MYVEGff038d3/+uf7m30TMP3+6vgNPbxe6A0d
mQr+3z/1/3rxZH2fla8XenNxZtPWF580db3pxjnOt772dB2vWx5J9XqtN/fO/rf99dGyrz49Ug4Z
zrQvuHhal+t/TLOq3vQVRHZbf8XsIf7HSVZuHH/Sqa2vP4//MctKJs/rtd6MP1nR1tdflFhibro4
wc7WF1/GD2n6ep03N/4Vy3W/SW6z+L7+fHkB6d361ldJ/lAG6/j1Un/fvfIVS3aFPc2GS3/Fij18
KDeMuSj+bz0oh0HqbdgIBCps62sfraMNe5jgT3zBpavqYdOYfMUCPcqqf/xv6j3ED5tG5iuW6PH6
ng34dRzeTMSvWKLHa1wJN1z7K5aouHaebdrdRVd868d6/JDeZ3fBpt1L9Fe/4Prl3cP964X+HnfR
x97+4hn3/nqdN9f+imV6nG0ck69YpVy6figfhg13/hUr9WSdb5joovqw9YCfPLTrz7GjgSX9F1z8
tFyzBbxe6M3j/Iolehav7x42xI6iPLf1sJzFTbIpuNO+YoVeBISOVXC/YWQE/2zrm79c35WkBGm9
4SwV8gBf8AXpPyYPmFxs+oKvWKqXa/EFZbou7zduZAIj8SW/YhY8eJt+xFesWvEjFqyAu6C62/Qd
X7F8xXccZOui2XRaif7Al4zSURNU/zi9Dap80+/4isUsfsfxun7YdP2vWM9cHx3Pybq8XW+KGQSX
4StGiu+Y4iS1YbMWtfmv+oayGV8v9veeKiha23+Bj9nVprv/kkVNDWPj0HzJYg6qCAfh5nUQ3gzM
l6zlLF5vih5Eb3D7UScwSTaN+pes33qNCGW8bqrXO30zNF+ydEWZZcM5LBSJth6aqwd/vWloRC13
+4v/1nn8qdC2ReHs6neecttfnAJRsqkuJ8qtW4/M740Htr3530gob33pXzsT/f7Sm8qyfzW1Phdr
X4UNN/3Z+1q0+MRd/LAu/+f/AQAA//8=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50FE37DB-15F3-4909-BFD3-81D811E1D5AF}">
          <cx:tx>
            <cx:txData>
              <cx:f>_xlchart.v5.6</cx:f>
              <cx:v>Amount</cx:v>
            </cx:txData>
          </cx:tx>
          <cx:dataId val="0"/>
          <cx:layoutPr>
            <cx:geography cultureLanguage="en-US" cultureRegion="IN" attribution="Powered by Bing">
              <cx:geoCache provider="{E9337A44-BEBE-4D9F-B70C-5C5E7DAFC167}">
                <cx:binary>7H1pb9vI0u5fCfL50tMbm82DMweYJrVZ3u0kdr4QiuOQza25b7/+lmwnJ6LkeWVghItXuJoBApuq
dpEPu5anqrv//dj96zF+WhUfuiROy389dn9+DKoq+9cff5SPwVOyKk8S9VjoUv+oTh518of+8UM9
Pv3xvVi1KvX/IAizPx6DVVE9dR//828YzX/SZ/pxVSmdXtdPRX/zVNZxVf7NtZ2XPqy+Jyp1VVkV
6rHCf350VrH6oYtUrT5uXiN/fnzQsf7g6Dqt+o8fntJKVf1dnz39+XFjEPLxwx/jv7Wl14cYVK/q
7yBMxQm3LGYzZH78EOvUf/29gQk+gQsWxhz//HsXqwRE9lXkWY3V9+/FU1nC3Tz/O5LeUB1u/6//
4bYf17e/ftw+PPk/P35KVfX0/cNttaqeyo8fVKmfn0/RO3p9b59unx/GH5uA/effo1/A4xn95jdM
x8/yf7q0Cdv/AOltXVVPxQFAtU8wJYQAhvbzR2xjy4mJGbP5Jrb7a7Qb3ZH8HviOJI4N4dVjAZMm
rQ4zdU2L25QJ9IKytY0yTGz4jzK0/ozm8e27dHsD7+0x9sF8W+rIcHef4g8XGhzGPz+5Gdhlk1kW
weIN2NkJQYxanIAzeHEUL4b7XUrtxnt7iD3g3hY6MrT/imGOf1/981hT60QgJojg9A2syQmxCAOs
N6F+h0a7gR4PsAfMY5EjA9nREHqsMS6rQyAtTtB6QlNqvSC95bIJ+HQmTAvDld9n9Xv12o33zlH2
AH2n3JEhf7tKP5xDiHkIH26dMAHG3Kbm2xOcCAxefMt7v0Op3Zhv39cegG8LHSHaZ7UqP1x+U2V2
CMzNEyIIxzYEbj/jss3MC51wDuEaJvbmVF8/+3eq9jbyuwbaE/9dokf2FiyfivQA/tw8oRZE4yYD
fNcfmNQb0GP72Q1A9gbB/O9Wfl99duO9Ib0HyBvfPzJk/4ozlR4gLl8zKWDGOTbZbg8O2FrwMU2L
bWK7v0a70R3J74HvSOLIEAYWbdU8FavyABNYnGCbA7FiWS8TGOLujQlMwHZDPk4oGzEr71JqN87b
Q+wB9bbQkaEt1yTaAZC2T0wMMIKt3j2dgR81wY6Dlx5FZnsrtBvlTfE9EN4UODJ0z1eFynR5iIzr
OfQmlinIy1Te4YttzixBrFd+bdNqv0ez3UhvjbAH2FsyR4b3X8nquz4EJS5OKNAkiAhwvmOLDWQa
sSmyn9+D0WzeX6HdII/k94B4JHFkADs6rg8ynW1gPcHvQvz1hmcmJwgJym0Gla7fQ+v9NdqN8Eh+
D4RHEkeG8PlT8QhVOecfL1VaJxRxmwv+SnxvUWQIyBRsW9jaWe/YX6/dOI/k98B5JHFkOE/iD64u
wFwfAGpxYhGbm+SV9raBCNky2raNgQ99SaRHRvtdqu1Ge3uIPQDfFjoyzKdQzE8PATg/sSjmpolf
K9ZjwNfJszDhPzyy3vtrtBvnkfweII8kjgzhWfyUHoL5gnSKIBPbBPLizakMhQ1bYIuaoxrW3prs
BnZTfA9cNwWODNZbnerkEFmUOGHU5rYFWdLzh27Da2GTMyhzbIZd+2u0G9+R/B4AjySODOF5nXzT
8ffqn/fGDIHt5dAttD132Qm0h1EEFeoXkmQT4veotBvkrRH2gHlL5siA/gzJS/1cia7/4V5AaBwR
kCKht2rQ4IQhT8aIo1EN+h0q7cZ5PMAeMI9Fjgzlda3vVK/yWh3CG1sntgldRIS9cl9bVhsD0gT6
A+2XbHoUX79Tud2Y7xpkD9x3iR0Z9uf6u348gB3HJ8xGtmlj/mKtt0IxdALvBBDeGN6H3ymSvRXa
jfSm+B4YbwocGbpL6Ck/RGmKn0DVGJrB2GsryY4UisM1qFeMa8v7KrQb3c372QPdTYEjQ3eRZE+F
WsX//PSl5MSyiTAZeOCdoTY2T0xIoU0MPPf6MzLa79FsN9JbI+wB9pbMseGd9ofhQwQikDHD0oyf
kfVG1ozXhWibcyFGodhiT33eQPh36X3Q/f37R4bsbbA6SKsnpFPQAsKpoG/1EJATKjAS0CS26Yb3
12g3uiP5PfAdSRwZwher7DCUCAE+hIGjfTbDaCu4hqZtsV5xJUaM17767EZ3Q3oPbDe+f2TInq2i
w/SEwMIKDP0A9AXZre4fcmJjE3NhjWbuvvrsRnZDeg9kN75/ZMje1VBATg7SwAdJsSA2g6z3BV2I
nzZ8LvR2UUEwFmSUHr1Hp90Ib42wB8pbMkeG9MVTszrIohpgsTixgOd67RTYss8YmnChTWBrdeT+
Gu1GeSS/B8YjiSND+GxVlk8HoLcgwmLQhivsV3Zr2wNDlyZcZoKPUuH9NdqN8Eh+D4RHEseGsC4/
/JX6T/HTIRgPdoJMQqj4yXiMG0IgSSKMQt8XuOz1Z5QQn71PuTcQ3zHIPrDvEDsy7IGoXa+UK+rh
AFwIP7Ethhn6SWWOoSfQ7UUELLDZWuH+Lq12Y77jzvaAfIfUkSF+vvoObfeHQZsTaBCwXj32jsgM
cVgdyfBoxdT+Gu1GeiS/B8ojiaNDuDhUPcpiUJFCrw1fO6azSTG4a3tEd637ofeKIN7C93fxveD9
XeDI0H2xUHJVfFsdZBqzE6g3rkF8u8mL24IyDF26z58R/fVsut+h3m7Md9/lHtjvFjyyd+AqXj0e
ZE8acSJsQB7C7pfselfWZa1rG+QX4/17CXJ/vXajPpLfA+6RxJHhfP6UQpFZHaSZE7YfWpctLOuV
AN1y1xR69S1OqT1Kv96l1G6ct4fYA+ptoSND+1bHq4NADRkW7CMlLOuVEd2CGuJwZgsTjddD7q/R
bpxH8nuAPJI4NoTVU3EQpw2NuxwB7yleFlXs4lLgIrh1AHlHkn27t15v4Lwpvw/OmxJHhvM5NPIe
IMNaz2MTujxf+zjXhnmD+163/kE+bUPtYzMo21ef3ehuSO+B7cb3jwzZuzpeFYeoWkFjEEUYuNA3
6hrPbZ3QSIDNrbrGvhrtRnd0R3vgO5I4MoRvFGxLUKrvhwCZQvEKmZS+biyyvbMIrJ6DTQug+Ws0
gd+l1G6ct4fYA+ptoSNDG2wV7O751B/AWnPYtBW2baXorUUX+ITDmgtOx/vCvUen3VhvjbAH1Fsy
R4b0rSoj1ev6n0d6vdkjxdAo8nMDwHFTJ/DcHDadMYH+3PTL79FpN9JbI+yB9JbMkSF9WaygmvXP
40wp9HZCHiX4G7uNYNgJ0oQtCvi4iLW/RrtRHsnvgfFI4sgQfq3SQOBziEIGOGEoR0L70FtL2PHJ
OhCD3oPRMtd3qrUb612D7AH4LrEjQ/0KeooOsl+UfWJTbsFC9lfKe5xXQU8RtCHAmgw6Anx/jXZj
PZLfA+aRxJEhfAd1G9gy/5833evVkbDwAopXr0WLLYihKRCaPaGoMeo/eIdKuzEeD7AHyGORI0MZ
TNUH+QRAH4Ij4eCCge2EQvSvCsUGRwI7gjFEEKyUHXV/vk+r3VjvGGMPuHdIHSXiRboqvh+mmAFL
nGFNLBbAoTx/xnUriMygaRRBbWsUgD+/iu9R7O+A3xpnb/C3JI/wBXDVk3+IGQ8rrjAYdlh1NaZD
LVj4Dos0xE9bsI393jq9DfvmEHsivil0hGBPIQd7VOWj/vnM/4ljcCzY4gAhC4LvN2w7WfcuQCZO
d0zzXxrtE128Dff2MHtCvi34vwD2v1dx487Xx+j89Tdov/fMI7DYsHMnhzaUF5M+LloCIc4x7GiC
oZ/s+fPzb7+cowFbqv46pemlRWHHG/hyUNTW8Ue/y27c48st/v1D+d93wFG1SlUZr+pDdP9a0MON
YNsg/tZiHGjjR+v+X2vUMwbnRb1Dqzfm6/YYO+Dc+BWc4bXjLx8Z4ndPweoQ+wxBlgXLmjn0e7/R
OwZEKOzWC6H3utAFn3Gutbdeu/Ee3dcGsLsPLhtJHBnOD/W3Q/Bj684hDCvYoc78/NlaYAebLsPi
OgGljU2bvK8+u9HdkN4D243v/79A9u0D634d9ueuqtXk+ZjA386s+/urzw8HzjYcib5uBbLDyf1a
v7r4/udHaPai0AICPNavEwjXA21sJOL8dojOTwA3ZZ9g0fWfH5+PHzTXnaDUxhiOQxAwn9un10sQ
i8FbArt8wgJ4CzYf+/ghhbO2gufTDDGCk+9sWBZiwfKuteUvdf18CSI8LEyI5fmairGgU/zn7V7p
uPd1+uvZvP78Ia2TK63SqvzzI0Fwq9nL99b6msi0bOt5s1EBW5LCPtGgX/a4ullvpQGP4v/YiTXY
aWM2l3GjSOA5Ra7RadxhdpoOOgydkCef+tAn0uqMM5ES6oZm0sg25G6QGkjiKrzr/GoZie62Qd1Z
7+FQZgG3Zd2KQQ5qOLVV9blN+gsroQtTcUljT8tclJdZ153yrOZOl+QLNcStTMpStp5vS8+yu1lB
6Q8q/MppyzyVSEW9kylKJkVk5HIQbFqHoXBYjGppl8FDz71AljHrJ3bVJy4qsjvG61qy2iCOGfkO
zQbk9G0lmZ83TpF6X2IbuxXhvVOUpWuq9huvIxl6eeLC7hSPeWgpp+HqnuddKaGUuaCdcOpcWdLQ
5J77bCasbHC8lk4DURiSlsmc8MZ0Gy3mZZckbs+aQqqm+9Zr71tSdZdIB7k0o+pBIVs5CYtmUdQt
ROCnU9y1hVs0hpbCz777iJluh9P7TJuhpEFDXa+unrhHhosy6lcqM71lbSrLKUySyMDnEyMV+IaU
VuEy7QWOguPXpC47e9a20RKbefMg7Kagsoa3cKrDxhmYpSbMs/Q07ilyYrMbJiIIkPTtQcuapOV5
j0TnRklTTIVWmevFRu9U8DbLooyCiaF0MemR8iYpKtVSIR3PhN1Wt8Rshs/t0ASuRrEnozJG5z1P
rOnQRtGDLhpyqiyL3zdlktyUBc6vAk7UQuCiO8ttj7pNH+tTwvOilgZj4ZnXppk3MXR3VhdDTOSQ
IO9bJ5Qh3NY08kVK0HWkbTwJgjb7hHp48DMP6pFfjdD2fzAR15PEJkS2VV9PIiGcPiG5LMOsls1Q
wXtTqCUuyXnVD/DU20ne+mdlmj+gsrQdI68viiBt555XdVMLNZ2sqbanlhk0knXZBatINc0T5IRW
UU1ybC89j/syihWRKR2oyxs7dQcWYVdjoVwr6dFU1zTIJkTdWjTNZljx6FzbQiyj2m8+24kQCw5r
iGVgIG9miHRwSqP40RHPmCdZ6HaiV6e/Hxy6YR4eddYXyg9eD3v99eN/7nQC/z+fJPrfX67Piv3v
T7MnvU4gyvGX1sb817f+exrp2nj+Opp0ZJJfDpz9acDec/FdxpyBl33bmL9sDrFtxtdSv5lxKH1w
WDNNTODIODCjv8w4PUGwUt6GHafgjDvoIfxlxqHqjWFRnwnlUOg6hP35YcBXMw5xIGyBA+sDBHQ/
MBA332PGoYI6NuMMdoUXsECQm0Diw4rRTTMOBzUhmsV5fIViK5Qmq0uJWfu5sbg/q3LjMgtQIctB
nUcx6WTRi3ne+9lEDLh0m0486VqdQ3XnjkVp7KQ4F25P7UyW/iC1oHOYPlNeeZOkw/O2hX8TI5Kt
kbiU4ofSrByu2kDSLpiUXb4KrPC8r+onKwwmrU0nleGHssfZed6xR0iGZn5vKzCWOnIMldTzMCvm
hW0vy9CfaGJOBxJODFoEEpvNGSf6k9U2Fy0JaqcvmJoFA1nFBZpCAH0foMacWp5XO1me9LMCx75j
myKQjJenZlc1U+Fly4oYc5uGkygIb72mypyO0nbSZN11ipkvS5FNW56geQLKLSnssu8Moh1cI8Wp
NBLr0qbxd6KCbNYTM5LKj6g0eu+uiPWPOKs7F6WtIdMyPI9Yp13lk2iSNlnsBJllOlane2n1YhIZ
/WlgVqnrt/GnyiyM0yRP3Vro66AAp5AK+xQ3hi8tszq3U3KXB/WMVN216pQxqQejl33SztAgfmCj
a6VB0usuSBMJdbmHMMQ3fZkZMve05dQxTZye07shUQ9RmrttnFCpRGRJqtQZ0AXLMEc/ynLg83Do
mEtU3U+CEkwW9ug1BCJfghD093seycHXg8MzNq+5zmSWUjZJyvpJh9HCKGO39QvJVKlkX2HuIAV/
B4G37D07lToN7r0+uekK1jlaZKkcaD3zfSuSOewJKaveNt02BLmYVraLk4jNEl1fai2+mNgD3Mta
RrjLJUqyB1yrsypUZ4Wy1cLwsXBMXimXkXQA/98TJzFoJcMqm3lUX6SBfZYr01rERplKv1QXKNQP
eZiraR5HiaxV4XYsdXgLirbNEEkcN/McoytCSicz22QeYW9Z+PWiTLNPtdHMdJmeB1pPGe9sKRJV
On7Z2BPG20LyOECuQM39kKunsiGOEXazVmW9G6Z5LFOuL1EPd9VbVzpvKyeym1sRxdMKnebDRdWc
e4aa9she+F16ic30ijTePDaHS6PmNnjDZkbiClx3XTi1DgaXDEUseRjH8IIqz+FG4Mnc5vDIYdA0
MTNHcJI4Lau5m6DmRxB1kdsl1JqQbD1Vo/JbBzFcq8UPK+zqhTby0PFq257h1FwEODfdwWNJIUlP
lRQphGOG0fkTs6Oeo62gndqGoNMiI9LvgupUe1E4TRr2vTYrCMyC6LumzX0+1I+D1YYTXcaJ9Gl7
1ddh5oSKN05f8WoC5qihjlmnpFgSP66WYHtyNxSZJVWX5+A9k2phpknIp7TOuPmpQeC8ZwEr8Kxm
fQZzKU+x7KyugNCl9js8EanBOpk3sOB6Dvvs95ksqDmoCyNN+vrWRgmublu7MOiy7mq9bM00Du6L
gZHmMqqyufYr7GRhH080i9hUKdOXORpWuPBvSo82ThV1p4yl9bQwim4mDL40rU65pmBM1jF/zLUu
ZVTxXCYhu48MLpygaUKJ0cBPqYaXOUpFJOHrSPam/pp5bBWEBXErESaSDvmPyg4ahwYaSZa2RCLU
RLKois7po+68z0q3U3Y4jTLjnKXFteHVy0Tor41qfwwGddquD2WJO4jiMjN2StqdBv3CRG0ibStb
qUjfcOW1siJmMIFiryWrqr1FJLzwSvvMCPuHOCA/BoxgFN/8ETXJ5xQp1xhOSd+FLjOLiecXN1EH
pgdBrNh1bhcv48A6R1GMXLvTq9YfFgGlhdMZHXdyNaQSXsYLbkWDy03bnyDDuIYldsRtLXNwVVef
D6hf2mbnOfAUsrmVQsBfalTNKGvAtrPMtWxlTYaih7nkGXdV5A6m/4UUpQFPMvTcwIhCV0R2C38c
YkY7sud0sLEzdLFwaat8pxWdvky6rJ1Yuj3LREWkEI0vfWxdqjY9r2MrcbrMu7RTJcuknPt1teJ2
209IE932sZFPhsSPJ54NDsQM609eXZdu3aZf4MT709CIQMd6uK9zO5jCrGPwDkAQbSJiOIWGg99t
+xMY6CnK4rMoCSpJfDqnof6UN2pmKKtzGh8t8pZeNSK7sU39TYGjk7AlwAVD1ZKZMO+alHkzb8CF
Y6Ji4RsNuISq9SUx7VAGUbSwzV7Ixk+dUJB8VkJG4yhWXkaqvoJIZJqS6nOT4HkW5YHDagIvYM26
SYSSZgLHuuauHXnWzPDhqtWE2uVRM0sNA884CcSiggfqlEF8ibIylMKqTus0LWTO7VOr7D7FqUaT
XoMTBJM1NdTgz4wWL+PU5pB0Wb4sYKYtfUyuOIaA2yizXFYpShYDialsPA/LnuYehNB0wZi6Curw
s4G0P4W0JpVg5MDAme18SCCKhz2prkjRDK7ANHG57h5T7X+hZn5ZptbjwOhjx9E0K/m9jvx77Wfc
rahaeEl2jyA1o6y4bQVZ0tBwKOkjB8XBkhTtyk/iWW2RJzsaTv1aXQ/YyqVdoduUrY24YU7B1gfO
/w+7nzkU8rccys9u2u3Aey33K/CGQBnDArv1gmoEzCjsvv4r8MawecJ69znOoXEUCJZfgTeFbRUg
WodTCikcIA6j/SRPTCiPPS/+YBbwJxz+0M/cYyM7Au7o9effyRNrva4g2yBPYBdpiOHXRXXYwgE6
4jaj7iSLme5hufdFQodmmiGPQbprPVgC4lir/kIq/ikarr21887xhOQCQiv/kxcPkdNTi4Jdi9w8
7c/5Wegbj7SNPiUG5L6YFuGsL9JvvKoq2bf+IkvCOfLT1slqPTVx4YFLCbkDlb6vBkSa33AFNot6
cTsJmfKmQxDOW1XwORjq07QNlAxp8CUx9Vna2w+DUck4E4XTqnzVh9G1HdBVwfF910AQxavuvILJ
7/RBpN0sD5d13fvSTHTzBciAr6rK1DLNsDfBrcldlIWfojr+inprWLDEX3iloadcDPMhJ18hvb+w
0wJiUevWLmbRgCa5rQtphu2nOlAPkL/PW6S/lIXhn1okc+2SOUnaXOAQ8uO4v+h6dcHqwcn7IpKe
Cr7rrLr0qzQHs9Ne2KqlUiuyYHoa5pUMeu0Qcuvn54U1zaroIScQWIOKs3WoKyvcuDGLSwnBd+BE
IRGfPOZJbZblvOF2uiZyZqFnnPFEt3NdWY3jqXrS6vAGTMkZR3qA2C8wnCaO5zlsYl8YQQv8UZnJ
oECzgg+BYzb1VS/sOQoRl8hr0lmQ0qdKKXYap/D3YvDIJmRVtlV8Q0Ov3BLxs0AMri7DVcc9CCxr
66yt1GWc2RdJxlwemkzqPjxr/WCQzHLBZSayYh13Y2Q2Mg36XPqD7iCUbbCMI5bL2CpLR6kqcZSV
wcumbFNWyXBlV9bKzAxwHaqa1iVxPARpBSH9dWvx0rGwcnhOH3sS5g7Lw5sUJ6EbAHJGRj+ZupV5
EhcTWBMrznIDL2Khz7Ow+9ok3eegLL9luWhd3PaeO3CupQ7rEFI2nLhRWC2avtJuk0dfIPLOgL6z
bEcFybVXMupETTeHuExPC59CktDzVkZ6QYkCAtISPwCPpc6yS1YE04ijmYlj5CRBIrNGENnH9DYc
0q8xVssKt+d6II0cqvTUK6szlOgFSepBxihbiEZ8C0t/YQf+jDMCAbQo79pS3Wa18UlpvkCpPq0L
9qQ5X0TIvzRQ+jUt4088yuGhDu0Zo8WS1vq8bqJKZlF3HSfNrPMgp4I4Ox3aeWbrBS7Y1OzZPPeD
U58hCEB7uszidtmW6AoFLJ7WQ+F6fnXfWkAglWyYqqK6zGqIkfvBOi1scmOqbBmpZs6ivoY7TOpF
2JBLhopzP7Mu06x5LFVvAVNIbktdfvHTfOl14XkdMDfw+5sUxUhGMOmjOACfpb74kTUzfQ0prhKL
3kxnvGmBIrSqc5oCEQk0xTUL/QXj5DoxGk/6KHeCulg0NrpHXRs7AsWxa5P6pg1M4OAgcBosK5Dp
kNzXFZ1bdeNkfeWSbjCcWqTnNOZfBwHco9FOKrudxqp5SIt6Xprox1D6tVSKTIbSu1fQrgD08gDx
+Q2B1kcnFm1MgG40wfZBon5qsGSYFDxe2n59xuxo0VV1JQ1IYoMguGRNvPT8vpWh9s9bSFkmyk6/
NaoS0ijiCwPZs1zbF0UahY5ou2mSIzxRJv6scH0GPPcXGhkX2AtvhzWEVJjfMtzBbPQnlLRL7Btf
OtRcUowvUNS5Abf0pOjbFTH44KjMVzBPMjevAIsCm9O09tUsF8nXjNLz3k4qWaliHulwFqVZ65Yc
f4Zdj0/zspFBELpmaVw3imOHsDvLrydKDd/C2LodzMo/S808WyDfu8mS9NxIkSe9PJ6wwfyKMz6z
iCcZbc15WHE2aYuOzKOOwVz2n6K+CqUF4diyt/ozDC0CU4wzcwrJ+czKzQJ4ySBzSCcgbfXRvEzq
+7JVt3k6nPW1f+cV5Tw1Bl92rfictmoG93zn9/GXKg+aRceuoihyQ9Q4JOSQwyfdzGT6sq38O4WG
0hW8mRvxMKsGsShKfj3EeF74NjwafGnkRSqDpr9uanIbxVpA2An0hCjaSDa4vc4oPy9j8PeTuDRI
PKnbXH02E1WB8efWkqSekomIm2mQc5nkA2SJooHZOUCqb/WSF3BLfZ/Ni66fWX5qX4nEFDKpmnQy
GCqXpMmV9Bvgbxs4hqSBaJ7xNIRwfTBlAN1zbkZiSFp8x9TV3AsMBakNZN26sZvTMO4SmRv9j7Qo
FybMYhn1aeTQsMCSq05MzDj+0mifuKjnhWsFAij9oLQMyAN54hSJf9biKrtMc1zdh9iCGNgcCmNa
i9a8Ltt0OI3FkFHZxkwo2SQMT7J2iN0BG2ctLU6bTF0REU1ZF04sMnxOcu/Gz4tlnRPgjGjqkFjU
E8if773WDB3LbycFhnpKE3WQKnvRhFbVtyasHRyJB+bR86btwckoN6mbaeWZUtHyLkOod4UVrMCy
fka0mHttcInM7skL6TIZ4DHZgZrAi6SBjab32WAuLZWceyqmDrcSN4yjqZElp00NLrroa+HywrsM
kenGkHdWsP5IWsmwyHx+ZnZqjotB+lG2SOxWmhpFrrKgTsNDem23yW0FZFqj+95N0vQujdsUGJ5o
iVS7QMg4txl2IBSakS5fVJ49M6Jg4Vv50s+qL5xRSDzwaUHB01IxjUT26IXDJIz8686DSKE3s8ng
BRNY5uiYefWUAFtkpKlTwkvXdfWytuNHaNgAbtBOFxqpmwI4SahQODYLe0kTPg86dFuuC1EVZEhO
30H2YvmQoLZTr/Fd2wuRrO1yWoV4ntTkvhHMiUPcTU1DO9SCKooH76NK4xyse3Qf09rxMVANbUEm
dlRDgcGPF0YWfrZtb0bFcIUaEkBKie/6Fk9pmH3RmCOXJkRJo1HfvUI3The29aQK6EVrogvPp187
VPGJCrN1kWcWAm1mQ9lp6vvesomGp6w3L6oMwx23cQVEK7wsvm5NyJStFmKpDE+8notLjfVpyuqJ
jgUU/Sp0HTPjLK66wTF8Oi2hKiE9M8BQEULJPOj5g9mG/a0NlsaN4u6s60TtGq3+0pnDdWbwB0JC
b5qp/B6420YiXk+jsgHWuYS7Fh6e22vTkwtfNtoO5n4Rh46ZReeZl0wj3wBGDLiiDPu5S3jZuXmR
/GhwV0KICGwqg5/6qHdxk9/6qstm8ZAsWosA/1zVZ0Ox9tomu+8wTLQQCd8tOjuWec8ucKQuojZy
WMiChRUM5VnmFRxYKPoFiCn/tC28a7uMH5ACKnQ93TltAmmn4M2joqEPIqhu04xd47ZTZzZNITXN
Fn6G7ogPEY02kVQtcJ9IuyiJznIfQaLJCumbyQ+ggGOw5WTiU3EXVfpUVeEyajjEmW03KUl13+P8
xu6AE0kz6yLE/kVihdPYYv0y7cLPeWw/sI7ewJ77emnSMJ3UPtdTUrGHIbEXdokNJ0QqnaUNDGzk
eKqxqtwsZc0cGEQigeAE7+izBNHbDocE0oiiMP4ve1+2JCeurvsq5wW0gkkMlwcSMrOGzKzB5eGG
KE8IgRAgARJPvz/s1d3lai87el+es/qiozvsKjEI6f+/SUEetzbweNb4Ick9ty5X/r31BRH08xYK
rdiLBireTGIgnaFQwx4Pg4nzqoHyascxntfVZ973adfdqtWkSfDwgs35SZ8GbuYng2xydtDwkGRs
XdwLirspzegTpWoAsEfS3ToE4EPwqJfHXw+DTvTvw0Q4mmI7aztCkMSPw5TwraMLcFC4e18X+Yb4
39m5//isfvL7tzRuSMEcNJsQBfz4+1ViQylD0Z67BRPtEJfP//j6ozjYHD54UBCIbhTTi8dURV25
AkER5xh9B73Q5ObXvx882C+fz6vrD8LGZQRL6TkQeyKyxi3GaBfUqfnS8t0/HgoiiRB0XACZDd2y
E1/eShtXzrqssjk7/ADAXDtpD/Q5yLANkz799VjbZf+FAXybwj+8lm2Kv3hsjlsLsGxte+79LIGI
AH2X3mFNtXPx64F+8vx+GOjVTXURT+QUfx/Ir3cdSw0rsI9sW3H/m7n2k+8SPk5oUGLsjpsQ5ceb
8mnnSWy83Vn5Rdk+zyan5adf387PpvOLIV5Pt1VR1ErU6c5d/MzL9wH5X0xnWFEDnDyBBHv6Dbt5
8V740IKIAEd25lgB/Sht7f9i8Yqh0kP+k4/PJvReca4d6VDfh648r9HzEp2mrk8d/Zu162cvHZM4
ojguhYKXey3PYaLvbLyK84jCz2bxAE70DpIS2e9W/zcz+SdjxQ5uA9kKYJKBP/340lkZA2TjtDuz
rafOa5kxmwP/lKix7r+9/H/LuS7fv4/vQqSXioCXAoH/N5UGHl7Qf1Ya/JnP9RPMEz/4J+bp/Qv5
7D60BAH67Xh76X9insgKRoCNm0Bb6AQ4n+FPzBOKAsiEHXi6/O3A4cDH6/0D9sQxxNuCDh2Z+88g
Txq+miSbMA4CAyRlxSBqsEa8miRRq6tYeBU5u6TNJl27mROsX9AlQO1C2xC6GAcAJS9Gu2HpKJbG
+2QUYHuimfjoU2QX3VcV1C1p4lp/Nyl3fFvGaN4+URLrNGSl2PCoYA88T6bKi9d9pRb8V5AEe3gf
xtSMS7w3ujYg8ElSjK73DuWL86kaWpENnukLySLw0hOw07maAftJ/F0/GkDPNd74oe+5C/IFtNDK
Znq1dNEV51BFocdCWydQDU1kP3nTR2FAkMwDdAgt6PgUTGUeE3sLDV6SiojmLAnmU9w5aypGKBcS
2K/2o7UstR2qy7ExGtqJKvVt0uTAadbUK0d0Hf6yA6uvLlx1ftpZ3b6fY2ofXPctqBowT6Q51UCO
drBp3nHAWKnvuZBhccjClvoMShnIzwKEFaBsoFudxjMFpRUbdNzRUl91EaEp9WtzbKxyckUHH+xh
OS5pbByJZwbEDK+FnIOhtimF1o5r6WcaAOUQKJo2szR3a8yjfaeC5s7Mzln2jB2SBm1xSRz8ULOu
dUHIrivRynQtFHN8kYexZG26elGXoIMK4p2KI3QGnDF06QnEWw8Uw+5nznsnx8Tujt04z3uhZH1V
hiS+rYNFmVQn5W0T4oe7W3eYyjt3YuAjKdrzLnyuRkHTRbVejuC+942rq7zU/VcnESKDyOSmLYEJ
xhxtrdNsq5f4yla6G/xKn63A8imiIMqCMW6ypGsq9E3hcZyH6MqjvZvNaFoYt3hNQuwDhn8lY5y5
hk5xGtjFS9J66hdcgPYmwBDjvHjB7Qw09QpYfuZKv/UvlKoGT9uxlaNSQ/3MU0216znaq3FInN2E
iXae5RIW40CH6zCQckek3MsRPC+P12nvs/ZDO0c77Rg3s8SoqwWsfdrOlVvQoIxPDdogIpLPHlE3
IRd3cgITSfxb1UfelHqkP1lS26MXjhzd3HogdGmBgND20eFlmcfxF03Mdd1G13UQ3Vgmkxw6nf1g
bB4C38Y9n2Pb3VAhPqwzuaZufSNYXGX1RMvbLgb7LMLeB8NfPTBrquPA2uPI50Mz4CXFLLrql5qn
hEdl6jXxczUt+ALD+mxmOaemS8aU6FlkcTJkbtgeE03zGIlwYozTRTYuZCJfQ8guJy2KcQWK3wyZ
MytZVJ4DFH7ZsZ4fozm4ThaTAU+xKdOUpYtp38Stc/aC6U04OzEmaSLDc4n+46qM16/94N7TdTpG
QCR8IXKwHH7mMHNNSZPxeX5mob8PxzlXVdWnHPSiarr7WHqfkwbfsGiB4Sf2PgCfvRNDf2uHtSBN
AJ2Inwk+AQV0dVqJOZtX4L1tKT6t1j4u23x0G34cJ3YBQn8WIP4jwKylkYdIgKyoMHxLnTvRmZMd
bOat9tiV6JcBZLGV7NepOQAwzKD4O6DbLQh1DFai+lMYT1lL+gOZkqxhUW57CVTYiSHElHtXo+Hl
U3XxdLur5+pgnHgnJLmZZ1vYtsZxndjiG4OeWXzF4ZpZObo7HCeSlbr9MrZfZDndGx1hRjoHCx4D
9Pg7OkQ7BSUj0j8g1x6zoPTOOJzgQemwCCB5pZW5D0zy2PLV2yUtWBa5OHsRjFlSosUWJUlp5BRx
ggZ9qE9Y4Qo7gAxhgIhi6GkqxY6+aw9mHd85rr5aafwQhv27mKn7CojhJD53tv8yOA7LoE8G4lUX
ddgXqrS7pgpy5tis8tkddGO3cvbvvVJAJwWafXRSZ4lSIFsHksyHWIGDZ+0DBxumqftmxJVGZQJ9
LyChkszXypkKfIonlcSF66srvwQkbYa8AtyfmU7t5FB2KU4Z/rRM8h1+VVAYkHZWBX2GL2kA8rdk
tlueVaeyLibXrZbHlUS5tMDLZxRyjGCTYH05ZAmzTTqFEXRe81sxdR/0UKa2j46gNvOeBZDa6PHQ
xfToGCHTlUKew+d3y+i8lSO/l6Dmy8AUdTnh2SV51elDpClmZ7QHtnLXyfa6X7tsJtNDW0eH2JTn
0l+PXQCErnQhZqrjtJvqQrT20pfOER9Y2i/xHR+TG9817/uw3dnRmTIvAXc1hndqVOdO0fvJVE4a
u+pholA797JLx3VKO9retLQCkDk4wDGr23FbqFb5zjYa/Drd9z3Dl71k3F8ytWxFT3dd9t2bsbdX
rieviRewMykh7a1s3T4oBd3Y6ukr9NXpuizZrAEvEv4Zauc3XIvo6IEpA5em3wcUmzroVLAAeVO7
n0MBRZ4e3jUjOyJN7Iz1Frjl2OzdRV1DDoTvso2abHXc94yqvkj85lGMGliQgSTbdy+8iSEYhAay
k5B3e3F0KJswWzwCgmGV2azGDWKtMtd6gLl4Tll3MVUI/tBcmc5+7kmfE3B6eqRpj/0PX4BqUz5H
+TRV+chIlxFUCI2eMtFikzBJd5hJ/HmGoFHV0EjOUQElXd7JHuuP4gY6q7Uworu2uroeNX2UtN50
QT2QM6CQNcSUbCFXnRdgrrf4TlcwEhLyN327kuW9GvtPUzzmFYeguWzN7RygNRYOtr8XJe2/S/uX
tPir3vFbhei7XogQZLgTcPDuj22EXsZxxGnA5Aw0sOZNKpt7wprf9Cqvuu5/DxJuLSpafH87Ye5l
110T4YTol8jZxB/HZb9M7438Wvk7AUzu17fzs4LXx+ngf4z0CraQJRj+tcRIXnxigU37yM3X9SjD
Jz59qGWY/Xq4nz49fE3bocbbEU2vbsyL0eOXrawuM/mgp+uh+tS1n349xM/uCNUyimUM48NA+uOz
A5FinMT27DIHGV/2k7V5C4mAqPb1ylNPn3493E/uCI0rmha4VQIPdvMfh5u7UHnW0fUFnhNwDAOQ
7X3f/OaeXqEJ23z4YZDtz190+6okmoYlBgFwmerxhifsN5jS725j+/MXI8x61fMIn9Jl7G/Dpc8a
+VhG9W8G2XCVF2DS327j1avpG9v0s1D1xRA/ZTRL6gu0tVjg3lMw8+rsQXH2z98OMAwHyS9hAg+q
9+NtNTV0rB1360s03A1OlfXtMSq//vMxAO6GcLthHsC99OMYJfUhgpxHfukUy0W4AzWZQQL960F+
9uigBUq2c2Uh0U5eDSIXFkV1bTjez/sOkgp0inwD6MsHPl0H8wBf0d2vR9zm1OuX9XLEVy+LJShm
e9fyi2NIOqu3PgqoX4/gbhf91xCbnwA+I3jEtuPcQnyvrxYfJQPWMOOKC78Zj/qIzfNWZjSnd+ye
Zl1eF3FGil+P+eOQW/gxnuCL5/hqSDY7wuh+5pc5VGiT69SDttCTh1+P8vNnF+CRYOfcTvv9cUqE
qxtGWjj8Ug5J5rnXcax/8+y2p//Xo/t+H9vZlfGWcgMh2KuJ3Suvdq0i/BKh9bWxh2rzQw2xf8X5
b+7lZ0/s5UivFjh0xHKEMYNfXPqFxXe0fBjW3yxvPx8CgrWNvgBN8mqq1W4D/nCtmkvXnSloMlN7
qTeFv9nqfvYJYbL9OcqrVw8ai2lbYZS6+dSSQ+mTfFOyNFPW6Atp9i39zTv62215ToAwV9AZ2IqA
1b4qFbykjHoRyfai5/0wfljCfFjv/+FEezUEsLSXy3Y3V3igDMaYBSJkl1Q7y+lvHtvf5vK3Ib6d
g4uC52/ECTdGkBad1kW1n8h6hNrmNwP8bSpjADAzFN8JgDePbhv6i60HS2e0uBDaXFDniYlmjB/B
6aZd8uXbs/ovKrtxZf8Zlc3b/7OT4/PnP4NYXjh58YN/oLJI04BlO0FUA87be+XkhdELsSqgMD3o
5d3tLOs/nLwJzGGAS0FyIlPrNSoL8XeABcoF7A5nUfhPxKiYDj8seHDyIsYHHCM2DR97Bn7vj7Nk
qEpDiTursxPIp6WzbjH7w45AWAvIQY0XspbVoROhfEeDXsMlBemBjgg0ZGI1UHPM3dVaQWzWrBBs
Qsr6tlFNtBt5DNct1tliDdB8iXqtUwo4MdPBJPOhTOZsUGq54Xx9mHQHd6+JGVy90ZtEdceKsa4I
N6tKROUVFu3qMPrREeDt23IJ0Q3z/mGUDModUicH10G1G8yPxneuiZhOEgANqkUIw52Ru4WlLvxH
C7QH0CTZwV0zucLIZNv3pfaudNira7ZMDw5kPUU1hNgsl9BJQ0M/hnAMH7Q2UOIZaotEmi+hDL/A
R8d3iiXTTg3zbWL8d6C9uivo8GSKNI5nb2Z3TC7yiMv8lHTi3EA7FftzhE4LXOyT4bbKocHdwygk
97QPn1vIVivZ3gloh9Ctiy9h6+YGkhZXtv0+IOwzdqP7JWyqA+y/UCbNFO3qsq47XpMwn4g5Az2A
harynuoyvp390ktRVEu4FGIJ9h9gGu+wEs/L0Q/1B+EC3Bt8rfYT/NTrGizXsWOf4pYv8cUoeFh7
6DRE2sYBOnpG+q/rxGgKRTLPFZ+CTJqoToO1NXtRoycearBl/WABozTeG7dGW9DbwTl4cNRh+/Hf
rw6QFBhJkulxCtvqpHXXX62OGJMcDoxDT2W+cOfelZKmfhfztKst3DBO/VQvtE9LBjDVJ5rv/Apg
SB/2ZgepFdR8RF4q4JNpqKq9FzqPEYGPfOHj52kyB6cNr4KpwyOGr7vk5m1P68+RL25KggZzswxB
N6NFGpHpORDKZjzw30M/9gGyVZq6VbS3SSBhS+cHz6kehkjCQzMBwfOgNh3WuICQa2d4tAOYfROW
0a07EZierH0Qa/fV2XRq8xSHgIgsVI5NRdOZ8E9uSN4haK+wzNy3TN/YmTxSwj7otv3CxiZJh4lc
D2Y8OX75xnT82i4Cb6v0nioBuRYby8fSRNea4wn1XhUUfh8tWQP6HT38+zJa3iBFF8LVCgIYQwCc
RrXzETzI/TLyU9WPhVcmFXwY83lxg3vf4l5EWd+Nyj2GcZjBq3pV9QvgpeW6JxSIin6KgyqrOnqa
A3pm9XrwR2hoHQiRGmXfAeiO9xCii7SpEy/DMten1UBgprHSpKWZYYavx3ejEld+Mt82vndkzvo0
dQyeE+jWs8Ffjv2ITgUTFpQ7ae9V7X/sfZEcoqYd0zWMAXRxP2+hzgRyL1WOyAFRyARq8QBCJg6d
+7GL4M9UbhF7MDluKy5WKVfmTTBf5OTMqTdop5iACFYOvF2uMxwcPAKsSXe+DW/5lHyioYu5FYVv
vDC49aFjzvzJuumMnncntyVuhIEObpsHL+mgomGob3slUjXIKxyL3R4ELGluqycAujqEGs28ndbq
wXWCj5FoYd/04ttmZiWMjIQUXLX3buTDB1MBvbZe9NGDiC13uxa0Qdjn1icgiGqgMlhJCzhxvo56
RVMyQExTj+5jV89dOrlR/aln5BTKeYZZDmtEXb9d2HweIYGChvHraiR0tB18W6x3sgYYtJvVipIk
ddUq3oqKRNXt6lUQZIazzFHmXdN4fEwsMhFGEcEwv8oPcq2TvA9mP9XN+q6cE5NGs4LNgAzZOo3o
NdsTq9yzT8sPRk1f3WkC/dSNV+3q5QBZIcjU9G5q1tspIUBMnRG6ezXkMWReDgGHNk6dk9KlhNhp
nR594xzqEnESkj/xGXReAwszrmZ9l8DIpgb7JCg0nwu/YD7gIZjpjWjc00rhKtNV3aaz00ElNU+p
SSCu8u3JDdWVY/h14Jg3HRiZMqCXsFK7Pgk6aKHxVQcMAvk2NFD4BdjkQhTKNdc86xxPp1hjdyDQ
DnCXHUauV2gRFZadEKKw0AcZ5pZBGrpluw9BMqxr7BxJsxw7HrLdWEuIna32jmPd1AC4OQRxft/B
PDXW6TKDU6xMXUCYyb9Xf/+tyhyU+/+5Kvu/kJ52KGC/J5O9KMnwUy9KMuBkPvKUtnOwv/nr/yTK
QYejVMY/wIUS9E1/lWQxsozxD4hsOPNxjJ/3kijHeoJToFDJJdCPBu4/KckgmvpbSYb8lgQXiDNJ
NugLI70s3CvU7Zz7cXsm7vC+qvWSrlP70bX02LqiSzkk5Gqc8ojCSQm4d/Wrm8QOpyUWVVouCEUR
9QCncgUHYTR5BeQyhSP9h6WevTyO5ATLoL1xdLkLCazZtauf6tjrs9ZtbxgFuTKT8dA26lmEpsIa
E3wuPZiWeyKwC1BzbeL5czO5QxY3UP06vp+HdsZ+abs1dybS7kC3mp0XTzqLpmTKAnBBmZadLTpp
L54F9A8e/XoC0ZlauBl8o81OAfuWTniFTha6eAPgu5pVA3TRTynbOIIoucCY+XYuIfPkMSBsxsgC
x4rG/4a8ztYKnmIhqhK0zBHUbWEjCevfAG7cW8zTyqpbHXXXPXz9DPcEa0w9pjAFYslssKpXIm86
77Z0vcfStrqYEZmdhok/p1rN+NAbgnU58A/Ct3VWxv3bGE78LARlO0H2DX149QD2rP/gDMuT3Qoq
vSXVbCVWuxVbHH2qqeZjjSpMbOVYMFGZBotFXspWrEFFc8tQvfmDglu7Xs4EsFjeNBMs23SFQHgr
+6oxIXsip3sfFSFFHM5+2WrEqWmuZfiszXOf2CJAPamsL/cTvEXtBEPCCPpZPiUu6x5ap+2bL3W1
fl4Mu199R+fR1MsoBd8Rx8+jCzcv5vfRgcPyYLQnz95YJpDelerKJmUWJJCKw/Nz0CPcwrDx1hkL
Envy+YqCsJYIGmhp9Hbplh303ezWN/LLsM7eAYbMBMruMIYX6b/d5zcbpIvP/j+vc8fO/qTx3H7m
z1WOIiEQnSeaum9pIehJ/1jlcDJ4lED240OaBRFtAmjij8Yz+leAQxg8nK+CtS6Bm/yvVW5zQSLM
HZACMkg2vOcfrXLhhtL8hbThyA4HmqPtGnB8mu9T/xVsBMUC1NhzpE+iCVkhZQvXhBRBvN5Zb15n
LEwJK9cwD4AtMmyYc7PkFBS1iw3UA1GKdaX22+shrgd7RuMCNRxMcAsFceaacJhSQVvm792oE62L
b7et1R0jJfxQO1ImsvuwjuEUXKJpSsZuFzk91AGGUqhJMhepBuo5WvW4riiMykg5mTHjDLrXndm4
56pPbtngwDlgxjAdliV4M0iA+zGqj2GSDU2DhoudOyzzNXA+CyKw7k5R20z3btgsH52O0h79Ias+
zsFoihYa+Bsk+cgc1tDyxAkNCvQK7IDkLQHT/+LbO/hxyqOa5HLbdNECq+Osd2PZf5VLrCDq9Lzx
Oa6xTrc68KaMlRR1NuX60VsGAc1CRz/Fa5vsZ9YuNxVWzRJl3b4lAQTgqwMxv1/BqzY5iPUAQWtS
qjVBs+jY04g2umgmrrC2uBBcK4X+MQWc/hGvSR+G0kHx4vbIxEoS5n3w1369sHXlXdp4k/exgTwI
bhP452zD1TufKqgBICe8dH1S7dZYTOdpaj7hkXZHRFG4Dy54zBbKcye+DZY6Af8v2ckKkJ2VpfWJ
1krtkwSGQr4m8QnBGfSARBSeJVaMGfMr+wlJG+0N6kn1NCEXpFAJh0WD1N4thN7tCrWYagosZ2gD
zBDeuY0kRT1QdfFrv9/pyZHX4D5A6avmCjkka25jEhcDtebrErD2EPeiujKyDnBtPCK3dQlvFnI9
WplJi2gNrafwZrBxt++ryd0HaNSh6hm1gc4pKa/akYRPqITfAqjwbjwS92dcfglhiAhulfSCQo+j
c7YrM6DEF36s6g7VPdrf20D19p6NsEvOahlyW08mr+a1LBTQlGr3/+PK+rIURP4dCrr/vKi+jKf9
q4D8/lN/LqtIRPehrd0kr8hooviFfyyrHk54RuweGCvI+CEiBmj872U1wDmgkMeCi/leVm5Q3x8q
S+9fOLcs3njVGK70Tbb5D8zl7gZMv1xVoVoHqoZGHQFR0BdvB6m8rB316st+APhx6hY/yWdIifpU
+hyahQZxSHchofaKm7lrcsdBnJyWwfwGX6hBqFnSDW9fPL3L92Ffcvrutoa/uhrEFHqQncB9AFb6
FYweQHrTJGyaTx7iVk4VMMIynSIJkM2gsUvSGUEz7yMIMiGME7EesoGPUNiVq4oCaL2i7nOitXPG
72DTzmtb980Kvae7tyEtv7iWwBj16yv2fkTlAYcizDCEETkBFQg3hveKWwhqGPDCxOqTb2hV7UKz
tm9mHPHqFzqyQKdmWLY4/GZlDCNraJFf1Dj+HkF31kUIn9SfmVEKPTbp6U7pGuI1LRjgh2hElGBe
Sc4uzZRcCZUwhU3HSZ4UG66bdqEmrxUJb+uRzWL/67v6+2uAqsJBSxGBpAEIvd30CyYgsqRaSN+q
UwfH25OsoPfFBuVhavTdZC6LGZOHvnTbd78e9jW0HLk4Axm1B1oZSMC91zs8NGdV0KuqO3UIDINT
ik2nDvqXOi7Z069Het0xbSOBE3QAmYfoELa4zJc3CEuSXaG4lae4d4LnYZFjuy91bL206VnuDFO7
Zj6ClCQkRIho+t2keV3K4C4RkUm9YJNFYHV4NTxoxBpJjKI+RUNDnyHso89wqeIaYLlXeThKmVoH
r36/tAMUm0Mjoy+6TdRxSWxwY0J/dDJ/4Qg246hW3vhjj8BMBiDxS0/mfueQVUQZTWQwHhAOh27o
10/vb3zx9pa2ZcMPEw/MWrAxfC/mB7x0FAVJSQBgluIZpnKFRC/S6C6ADNl2cLGxuvlYxUl/Y9YB
znAZmA2um6OvOgJChNCHCgpZZEN+qQHUf4a8FYrOX18k9DmvFhMwKD4m0XbODHS69LXRIBzj2hmZ
9m85vNNlEu8QeLRC0m38pNDzNGWjGZy7WViK9EPGkHDpdnvljXDzBb2XNe0g7vuWCqBX7VK9XTg8
/lYBRe7hmH4TqibelUNXIiiLczQz2udLWkJufVp6os4DWf28qlzQ2qBEOpEB5hcHRIm19x6vLpXt
fEgsp2g46XJ41B5SxXbhDI+tW1sPawPMwisUhTG/gS45fl86U3DFgADcrJWZk2yBwV9kWFuRURaP
VqQL/BsIRaBkt3LzqVeDfpgcAvR7EToqSjVMR2gpt7g3d2n2JYDvOl1ZU35E0T3OsIgO5MMk4K3t
wWkfG9n1R3dI2s/1DPg8BbraPNQJgGRI1YPqCtQMYvLwHPZgrJLzsAiTB8s4FK5r3DlHU+dW2bxU
8ZDBUIokP+WPu6lPzqwklbNz3W/G595bgJjxMI111L4zwtnicZL+gfqa7qeEE69QoVif4xD5nwqI
3FrM0MkWxBjn2VPt8lVVfU837Z6Dlr/y5qowGqEi/rIsua2AphcjMkp3cFeLQ4e/mmI5H5E4NMNN
lXLFkcwTlZBtRhKhpCmE7mXma0QEIGWjyatgss7d4rvBrlajg64cM0kXvl4StTd+ZG5gCV/b8g7+
cS0QqlC3ths/s5J53vpeLcREAtKQEUu5/ORZwTXw20lPU++cdKMFEr6Selj3czLp8ijGuoYm2Gvl
gxMR/8itD7fuhHcArebgAERdGdI6IYcvsR/qtkFBh96gcrKx1W55Rn8BB/2hsdHCdta0Cby2SvuY
UUspXbVkcJ+TAgluvDzP+HTCKhviHqpjFyltoujaekzSdsDmVeYA4cMMXQ8MIojYczowOKqE+h0k
1lIWSxu1IldIHWkK2lVizeKVYsXsvCaAzJCNBJiqspW6KCjoRC6rOv5KphnEws6Rnt7XQTzFJ0rK
qrzq/EhHMJJ3Rg2rPSCnBNLavK9YJPJSzesArbjqEFrXhsIeHDQTiMXyoC7OIpBs7X6sh5oAgQ28
t3CEry6yIsMGYU2NcMgZRBkAZBCG3VsuRCKO/pjoFgGNOrxfkSfhFxwRuy4IPTjouzRiHtP7cpz7
DoLj2r/i1eo1xdTjCnKp2wrhb65BPBXE//1yK2KLqU3wqSBmw3Un+MApbXdV6VcT1EczXmcdQZmP
9Arur1/axk/CXYwLQKClFWw4uk4dHCrg+MjYaZrB39WyRqjJVKIhJMvYJxdeLjzI/HrgQPd7vpJr
p4QS2O1LsEMRA/iVu5at8shqdwHHlwQM0lr8vdRNEFCB6VP5Q2aWGuyANjX5MAInsARZwU3sndy1
24jWeA6I/2jbxZtOITAhueuSQd8iLg9bUqWiBj+QCPT/BaJx3O796rYdu4KouzWFWqByvYZFQj8G
3KPPyFYTJSS7mLzF1JnIz1WIdGYIClw0uK0/NAr5GGVeu/Xwvl0WVBa84vODouHysR+Zf5ijpYKB
oAGrjbDKEr+HAtk3BXwcAO1N7wd3CorqR1cT/I0lJCrOtGsjGHU8wWuEMnge0PSoUt65JlGCWLlh
m5ycD2oftYqpi7GBjjNAb3g3bOlwYRLBju41drDkCSAIZjda1mZEZ4ucuaNWSelB8gfg7N5DRmGA
dApY4G+10VvxCX/ChSKAz+RyERhaynWFB8ETet07TbTd/HbpC9YnXFcv3FNAEW95Nw0UjwrxR82a
Jc2MT6dvq6a+68YIn/w4oSqo8GdYUz3dsfPgBghrSn1krOJ1I4ljuhWE9SqtnWkwhcHptz7soAOa
efy/GkASuVhATOJudbLuxFPp+clVPNeABmNG4Xgwtgqfl87HZZiR23tfG0ddVyhzOYJwEGXyEGO3
2KvOcU9DUg3vIT5A4CALWO1dwXSUTNclk9UM8XY0AHWOrL/vPTzWzIkG+6lpG3oxk3LkYXDs3LxF
+mmlDtDoQ5y/JtsaUg8tg8Ee0Vd57Vmmij4UyVtEEYtCLD0QhijY+tZxYfe11Oo6EQ2HCcAbvQrL
Hg2wHTEveRo5mau89Tp8Jis4wuQYdNIdvkBw/j/snVlv3Ma6tX8RA87D5WGzZ82SZUs3hGRLnFkk
i/Ov/55Stn3sZGcDAc53sYEgV4kjW3J3s95611rPqpeTb/CW2k7qib3NHY2/0ZlNxJZDZmrPRjeY
7obsQD9y0lqjzujd5s9dMAYP2sKYflqDvjO+9WycZVgZhsdWdjL5rebKSNeNPSUu5CxelmmjFYG7
W9HW+st58TD/j1hpfE8e7GoencM6ubw4hY6Utm8AVYjL2p3tC63HSrFN27oazxBm8K77jqzSByYR
+U0HE9iEPDrlGBapnHBpTiMIvTpe2vsyaY3siyFWywdFxAS2fGp6S0Mkb2XcbVNPK5KTFjfTa5ro
2riB1+QWxyzQjdtZavG679izZBjNB96kmdJMb+aiXJ0rsjfsJdpm1N1L20ixxy9MN3I7pQ2v2uTX
GZy91at4dkhZbo3ZmrtoLE2/268+C9wQQm3iRUu86HITN9JtP0/OYjzkacd7jZMueOS9jipWB7XB
A9ZsIE36VepO4Tw8IQVMvhEWxeh9csy6naLJSXr70o5Lf7xr4UdCA4fOVW3htPNqcnFY5ovM6gtx
4XVNat2YM1q+ir8E/FwzpJXLotMA41Qy5pnBNDb0lyXxGa6RQZHsSIcUaTTNun5cWpvP/QJJH8NC
DG3yYyr9v1bZLrOvnZDivf8j/PqXaOv+v46QrdDU/3Gd8jK+dS/y5x3Mv3oS+MLvGxVKQHVVa4KZ
yVKOJm5PPzYq9IMGjmNA6cO0oFbO3zcqlv8bRG3gflxZuHH9IsdRFqzCpuRWudAYf9MhxS7mD/cO
ggKBqh7GxMXsG3h/uN3ViT+O5eiLa10vk0OTxPs0QQ3qrOmMyrxspsGUF/Ngir2lr9Y+mIebOre5
cNbVa2ebIpKaPJRL6mwDqyNtNLlAROy03UDdWsNcm0zwKL4Weq0LPJrc3k2bBJ9TKD+bkS6Dzayv
Z87Ni86xD74AfYxbZN8uDQHYRGzW1r9cuwUhRxTjYSj7U1LlODNs57T6eHMS27vEZfYpcZqBuIcP
IscrorrLbnu9e6EpqubxlDyOsH/DiWssgxsAu2JcL93a+zzHnO/wMb4EpfjszuM5KIyLySsfNKe6
7H0M7TzKP9Ud0r1mMJLH09lb7bsaOhIMrCczmzdJm+x68iJols1F44kvJuRDK61AjzrzfpwdKK+u
/dKXvgzruYSy4fXbDCge21nYYVY3u8ys7UIGsR62I1k0bmUk26eZeQIYqkixgMzTcDWVSP7JOhl7
ihJ2udvezcUIBKYwyMyY640Vu1/NvnkohmXH8whobkL2xnZx4lTHjOOd+gh54w7ep7SNEwwPyxdX
EaqVBSnyDJvIXZ2JnYU1KapNb486cNvNtQeuqTzNBu6dteJ46M1PbtoZHGcmgGURXOejZ16VsXeY
fUxEV3Bi3AHxbPLP7kJVBvLILvNG1MCWR3e/5tvewtjaDf6X1AWtPbQqRSyyPdovK/VKfC08V0R5
jwIHH3JX+jyY9WS79Mshw6GFCJq/dp31Ri/v2yTwziWtfaUOtXlsExYRY7XF/WY/Wk7B/I7HGcU0
o7qkPVWOeywdg0kx3XV+UuwMLhHbZZ5NIofusvc/tMLaGfrtNGq3WTN9C9ZiUlxZkHt61+7X1iYX
17cnW2vNTWs3h8DFASHMGE8X6fAIsepgakm9F938wngL/Atak6y2eq9vUGG5XRvBZyDQ1iZt+/G+
tY0WNFsCbtYb4NbyCN8Y62Bs+7Kh38Ip7wK4Sa4ZWzDK0yPU2It4lEZYFV0elUnO58KjxAE6MPij
VphouiBetdIqgY6vw3kBhx5r6VcrmezbPq7u/A7AslrJkGrjZ0l78mPaOmylDW0HQAiUcT4peTXP
tGs0N7HnXKSVrkeNnuMCyfkLrN3nvjdOUtxmto13sPNvfL+Kj7MrrmZgm+HYT6fAFN9sWTZhu+Qv
lV01Ww/jZKTNWhE1K++PyWlZ0rVOEqlAp4U5bX2G/fttJKWSHyW2nkyQ/Gxj3gZjFb8sakg1l/Yy
XguD9gjtfoY4VBs4Cpc2fdSS4g0+FP5vkLdbbs6oIhgFtKpRZimKM8rygeXHe0DMeJPMvO+s0tvb
ok62NjufUGtWlYtv6wvNnJ1Lo64egPC3V8A/QSn3HnCxYI2jeR3h+MUkvJNOFwzj4yXRRT/kNpaT
h8/u0453s2MnxhFAUwpgilecKwaLumW9FXHjhsZqGaGsxnXTLNqdRZVHpPMnkWsl5Ej2mhVDUcQ7
uJA5mcrePiiY9Ginp4IbOWp6e1spjJeQ93qsP8ROJpCbRuK8jrm11nUmKy+6LqdGxui+FIEjp60r
azffyEFBS8d83fQjgKxdNsV11OaZpP8kSe3fuTb/15PDf99MoBzEfz0TXL58YyL480Cgvur7QIBl
GlqFApdAoPZcB2P7TwOBAyrJxi4PX8ZUIbT/Va6RGSg6sTnBf9dRfkgs7m8e1DXAGKZrfZSW/h2J
BazRnwYCFHXVak51hyI28U38vC7VdBIiZm8k5MSrnbewKeolp1i5dFdWX37GKxI2M8UEa7acPATE
fV0ll6UYDrphvNna2G6mADu+NUmQ+OWZqTYO1yC/rFG6IwPGeZ1l6AYCnp9flY9YfhXENqAyAIqD
MdDi0vvDVY/xZDTGJ7cksZwXW4d5Hwdw+uwGZaSxq3vszEHnSC7OSTXF7MWcEYSEIXbDkF0JNjm4
g80n+OW8yzPY99KyZTRhPGHnFr+Pk3yzSsdFs9TdrS/g7zPn34sivZ2T+mXVp0eNJDYLuGTckCld
KapwTg4CUzQAuw0bQsp87MWr7+RfU68DDkUkvJv4EQdKgLayMW54DIP+Sy5Fs55zkY37vHP0SGbm
jZOTj1Ib1SwrKXLy+3lTEhvfu3YzsouavsYyR+qm24FblF+CLnYWuLb5A+PBTTYwPOBtQdPiIXYx
VcG9rOKoqoxbWU/dLi/tKtKC9ZyWwSnt53MjUn3Dmk2yMRyPicHJkgivCV0GrFAMrNm0TPpRgG/1
k2SVegiEM2Bq9KCfcUE7oXzlO8yJ30CrL6dkTMGb1HoSySr399bka+y/rAu3NY6tTWnIwgPydtFq
no9tH+ygPught2fC7Bpruhpn7K1wNU5I3D6ZR+VS+7zozbqXiYUnu0kV0I4MYdPYO6/uWvbA43Jw
63jXJ+3KeVeDLUqqr6zHqw3CSRKi8lfbslbI/Sp+Lr3p6CbkEbOCngl+0wWzVrbLs5pKEu7RWWz0
W5W/PJlmewfaPY08c5yjfHZ4Qw6ec6VLnFAdG9BNMqxfMRpZYSMHurs08JZ5UQccAcIjxmuO0br4
l15lB5E/u29dg8m0CwzUyb5mM8tb2bHzOUrGrNw1yQI4Q3Pv69R6Hj3QchmmbGpWvPLQy5nQfzLd
U6Aij6xovqJ4UcBRxW5YJLUf6cPI2zjwbthuUuNgl/ZBq5ynIDdfgXrsPULTW3OWl1qlYS3TICLZ
E9VKafuKx3vhxfcAFdQycG/1Ze3tkzqFwAzy5s22s9rHW9MbM/znGQjNDkKF2JTDAAjfm3eL1Vs3
3lQ90TUlI6g0RghCeAgxDDwS7ablJp66Lcs6fBxBEQnRL5uiEJ/J7BJBLtmoZQTh4w4/mkFC/dy1
xA5bH38xwN2HVcTXndtcDDOYsEHU71nf3psWo47pn0dfv12B861rujeL6pRq6aWeY54D/AznpRxs
1tD2nS7cMTL4fXftTGjOKqaNx7pSeInJyplvPEgOcrLPuqa/u6gLFIWpR5O9FXG1nIS2vJgY3UII
pA5Bd/yIzJnuKVv7nT8nMy06udf3n+ukHcVuThvuPqnWiXtrGuSjmOfpaY7NpsD4K8fuYGW+85wU
wjn1kqXBDUb1hJaAVrOf44RB7jInoL6vgqKPhiD+zLbC3TqzyVsjVjUKvF8ONlcdAgNruZl4320d
GuFC3oVPgz0c1oJhwoghbborXkAVQ6DGoQ4DEd/663o91/gSV5ikYCirm9JNik+DwROuauiY6ygW
gYKYv+PBvO0gdx+0Cad+JhsucEW58Rrvzgr6b9UyPrYO3BM+xXs/7h7XYEhV38dNYGfnoVicTdPo
L8bMc1zUE/ak6s6YjHLT97E8tCWE2FrG12jHJoUmsF+oOpq5zUxGcayFCdzZql88MdK0YRK399zs
IivyV9OfeBrMrzNo3pobIDhsB5IDwlFSUvbBeuiBLr16FFFVHHxW1/W6zwZ6Ikb/GkxoxtCUv7tW
elqpR4lri8m/zLYGzNjQ8PGYlGNrYW6eyC9YQItjnn4dlspdbTV+uCxEJXIz2/ZiXmmoq/Ys14xN
NcH3Zot4l+VOEJWddxE37Y2QWAPxRSGX+Boalcm1B6C3k2g7p+vkBmn/sXDB6TNCam5cb/B+fs79
8WtOvmcPluU8NbMIx7kH9LB+dlo/BCB/TfEJwlvvnpoYgzqdMDuWXwzq/jNMuoz7twADqwkjHCrj
osbOsyF6gf8aroHj3XtBYYWGab9Rq9btppWHreX357zCflCxtOd/nHed253YJiebIQM/kHXekcYA
ns8MpVyKw0LL7lk0vbQDFImW/9YvF6PQHguLl1r32203iJ7HzbirjOQtD4KDQxJIaPxq3PjvIPK/
NdI4V2b6u8b/zzxpMF799Tx58SLlW/1v5km+6qd5ku0SQhMTG35qZb75MU8av1nqP/sUaf5ri/Td
svPRwobBjWQc2MyPnojvlp3gN48wLb+jxy9+dLf9HcuOmmd/dcmw4MKp4xgENnUbM8mv8+Q4BLPW
CHe6XiZLett0jHMuMl6wYHjLUtbg8blfiwQ1AORQ8WgMhsacqPtZf2zWTN1+3LW4kEswgSqezZ5R
bGpqQbqpBvr2dXYnT80NXbxu+6SDxIVr8TC7RhK8/95rtEgpu12feXYcxVwk+Rw30KZgCWmxtm5b
FwwZF9li4oOyCoNZ0fvoTILoRn+S7RkVR57/4Z0rKFj66FrqxsR2PpUGmbcdORcWLAYG7dq1+wOm
BoA9Fp1O75Plz7sEbo6Otp5X/RaDvX6gdUrtuf3yNYtrNwp4LnKLbZZxq5X4LceKKs2AiDv9Xhq3
Xyyfr6ODCXJdK2vf6wuoVqdN7L2zpO/upNlhVfvveV3amHEwensNv9ZoiPzaOHT72RPTOU3IAfq4
O8Mk4wApe1YlGPXqV92jdsw0erbIFY0+YcchGQ6Ogc66ZPqBdUEa0otUvxi+shauIjk1CKY39sIq
C+JQsKfA7K3wVmcP6ourdzraeyl6sDLcOhleuDrbzlDeFPoAjRgxqmpGnOxtO8GNw3GU+NZbSjvG
wekK3hYjrTdVYvOgEYkX6q722hQkNN21BNEdCEquuu7dm+IY5SZLeZojWkRTR8Kn7FlaCVHJU+Do
eWSiHF/yPXMNEK44FdMIrCvXI5APNp7LabmFIe3sp0Cg66j4H2oYNPDOhrg1xOO2Xju+Td/6UtYF
bV4tA0endifI70nIvYZIUcMgM+A+2xul294mhC/DOZn6Wy/DobAuRkvR0rIUbDNMRngk8a1k/RCC
72m2s+ENrAGICcVzXRyMku6NlsXf4f/LAv+/8Br+H1fz57fu3z00f9rKGxTMw68B7qGwnh8e8R8P
TdrIVczFwfTkgmf5aSuPR1xF8gOePiojo/Iz3x+aNvZxOm90oKSAggk1/51L+IfZ5w/OQmCXQcDV
Svc4vP/g0/OMJtGR6/orT3okRUkYkmlMzTLyWjvYe6P/IuNk2rUNbWXGsuY2tYnSH5aAYIKZP/E0
GrBYxGLg+sR4V23yIZ/0LYnHwbtp7K6bbuqpuWqsInvQuonQWGrBlcvlKm/9Ms2fuRvjVK8XqDR6
jCk9CSYRL2Cf8LGb9pru+g9LbuvMnXLqaBUBRgNbjHxCFsvnJpxJxzFIWYMrM7kz6zkzTlUFf/g+
WZdC22e8202GraTbBxYem8yrkz22STfqxJTvEQfb7dTGxn4sXAM1FOOJXriMoiP5lkMB93ndWnJY
YBeYwTpvy8Fy28vGU0/02sbSdORO6V4Oi0wp7DGFe5+5LvQ/gpQw6xFH90aTFv19YZXEdLl4l9ez
6abmvvX4d9wg4ss62dihGiKMOYDNVHjHtjQsffvPR5SEh6KY/6fJ5n9K2nK//WlV9vuXfR9tTIO8
Br5iSAGwHiwPC+aPT6n5GzBeGmQZcHTIWvzS/67KkLKgF6u8P/KY+qXvn1LyHw4QWKYbm25auDt/
51OKWP7H0cYjReeaKPIYdnSG5F9HG66HbTD46XCdUwB18svAvuzq+exTYLBxhu7Rpey6zfviUHNi
rG+pkK12C1qKnfVKvQwKEDVTFID2xXLbJ/ZJyEpQxIkqY6xM9l5h8EEpRzu0m3SXEK89Yt1CSKAd
MURcT9JNMLb1rvKacrinuvaJrZQINQY7VIoZ0aIxpX0aZ2oKnaaeaTJffAqSh7LgU0Nlck93chJQ
opypOuXFEFgLjSI4lqpsuVG1yyaxjUvf+qhivm8+upl9VdPcqMLmsWNS81SJs1B1zqUqdjZd4tcd
NTSFp0qfE+ooemqgHfqgfVUMPaqK6LEEaa+p2mipCqS7SV4ZEgIbFVZPHfn8xZgUujAy6Z7W7eQ8
qTLqXtVSZxgJCMj5yJJcjWte4TABc7XlD0ve40m4zzwNx3jXOi03KKylG1CJtCd0w11aWPd+rtfD
sWGD199mlKwcnBZSXJu6B9YZsr53e51IeTrE3hhaXmzvLYMUa+jEVD7Gw3Qk7TLsBzb00VrVN0su
r3hynOjKvGp18+z32o6Y8kkD5yRWhHpV0M7C3cmab1Nt3mV98PTPw4OHh6PrfJT++lr0PxVgku7P
1yL1VT+eHR9ZV4gg/0p0cS358eww2MB7tuvga/710UFyTA90CzEetzC+Ye4q3x8dPpV7zIaYsFHL
XQ/q1N+4FfGM+tOjAzcW07WBtOoBtlO3pp9MyaJx1sJh23etl9ZDgZxjkiOqbHlbzOxnJ6X4JOAi
K8M+5MuSs/JAFYqVPtTPQxzqLUWR3jINEf64O2jTLKUazwgnu3eptDaQv5XAFvB71QSMtiUK4TFI
mGkbMJ+d0qvWWvihIeZLrUXLqmpW4HTTawAYnTjC5ZizMDE1WIpTe6UjiBGqcy69ca0vcpPYuHCp
ik9iEpimktKkoi4odc1NU1qwuvohrX2eCUqC0+kGYlTZxT5sYllgovPs6g2r9SM2VQ1yq3MQKHqa
kvbiVl6uSuyjyfQV/0POonFYKAudtnV3zI0LQ6mE6UsHnZm9nhBxEk0j5NZWyYoeayx4FbT6mqts
tg3qIyMH00gPMwNd0uhhPwQ6P1A3EjdDu1w0NuFLvdXWiwFZE0bzs4PMKZTeGSzs6wMk0C7pbjKl
idrUkIZiNq4ZRZReOmwZCXlJLKa0Pknk0VN3BMynd6ZSXAOk1xkJVtY+3jOlymZGauxMpdRKb0Sz
dUk6N7Hot6VSdONiojFG9y+42xyXIeOm0qUU/9Zo/bSL6koZbi3c8r7kEHEDbMzMj1BYlZac9Lq1
iZGXE03kFAA2+1bPT+BqHuyApl6lSleAVXtSsTDggkiYbIAa7Kthg5A9UaVDzWF7sgx+lhWxO7Aq
Wk5io9aZGPv63o9xOfgdWI4Cur/dfc0UBcYctRve4C+ByFin5Ul9SgvjC8vYy04xZDR6aCMKCd+w
MLyN3rLspCLOtNKPDzhiXys+oqHgW9kUnDSIksO9YyaS7l79BBX7qQFmsyqqjSPSvQBz0y4sBqWO
q6BXDBxRAH/opLzq85WPz/iQJvFrm3r+obbwIOdadU+BhwoQDp9bIDtF2yfsDmmTWRC8xeJWOx8k
j5s4n7pUT0+jovUUYHv4PaeLFl4slkQh2Cy43ebDfgrvEOdAoF48Lvkb3Y3dCETCZylyHC3rwLVO
1vVJmgNgXM3z6AzKiB5KhJ51ZqpMdEUcStPuJnedAMB6G0FGhewxVI++AiUkfYrjD3SCNAWkGYVT
iBVYQSrEgliALbBRx3TwAWAwhyPd51Tk+vTzfEAaFK6hdQE32OpT6uNakwrqIKA72H17yKE95AK1
O1cAiKbUDD5pQCFwp4KHUKCIAGJEb1Pyjic10mBJ5ODQhRw/GTAmnG44CZgTgd3djx6OlFVWe/Yo
AGeqeA1rSBUjxIpMfCiG6U1lD7dFMj36im0B40LGmCALhb2o4F+QIDjZ8DDY0Dz0VJeQLgWVoQth
oRjNFwXXY0/hNKoF94zZzZdxZ90WLDwpZzLo+2pOpoJxLFA5bOgcGZQOYhpXpEpu2twjwj/K1zh2
WJ9D9ihTwud260NqzqtnqfAfsQKB9GbzIFLSsWyptmPJu4YY0VI8WkPuHDKq0DA9KXU9FRjgld7+
zxH++xFODuuvj3DCHoP80/jPwc9X/TjCDe7bjm6Q9CNk9FHe8OMIN7lvOzqYRM7Oj0H+x/gf/KYu
79zQud3D/vJ+OcMVd4J7A55Rdb4Hf+cMN9Um4NfNpufphm8bXCVYazJN/HqGz1OcYKSO7etibbzl
uLqiIjWcWn18jUkXovqlRiiEUiKv3GhDer/YCQXYTIwYrFDXkHGApJRtsR2C3o6kU+kHfVKN3bNF
of0oXrjas6l3spe1pdSrsgjVddI9l1WCRzrOb/IWZ2oS99umknY4+rhj/WWFLxO4MgJiEaNfF2M4
aVRZp3CcaWrsz1SywMfxss+j4d5mFqWXJcliMUf1iJ7Son9Bu6QnMxe3K59ctmdHrEI04ZVwfU0a
BTYBfl20g/UlyLtb10WDGirT5SNr3ph6X14O9ip2WOLryITaSxqlfbfi5GXI0aYqmN/98oa9zYlI
5GxHCjCiki7H2bQ/N3XCwx3f3cGWZJA6SyFlG7hFlsCSSHFmtzHG+WytWb41u/UNKvBuEOPZCKa9
gVYpG7GXltx2hGbM3KCWHiDEphsVp56I1MQTKtBDc7Wo/IWu5BClgaTGwO/1G9auD/4AyagsmwNx
7O0s8ocy0CJoXrdNp59TbdjgwcXJ7VS3Iy/pUNmk7+asq/e9Zvg7321OhlO9AnTloPfiC30MkKuy
emOXLHpP2Dq7W2PWm/g570rESWmJpL7V1n5p9pVRs7nWC/0LF5hAhO5YfDUdC8ERUmdmDl8Dme48
M1CV7fxyNkxvmMfkJpdg4qtxPvRLemXXsb/FY7ns2j59x+wA7tVfnmAVPPTrfGuMxjPpuxOVvU/Z
mAcbl7T61kvsb5k5nyY9WZ7LtEUW6hvybtC4/JFNpgNMKne6W0znB6/ztYvBax+WjB+LWycjYOJf
xzONgcAveArjj0gppnQKN9j27qIfVg//hrCJUPSPY49/vmpsMyrJcxRJYO0dLSOeRdCtMRzQKmO3
0UT6NSnaFQl6WXckxJsNSLk91Q5PGY0ago8NBHlkcPIsYeNJtfZHE4Y8cJwn4PB+p90ssfal63WQ
e9RX5mb+yYnThDSM6TGccTQSr8P9fQB27jH00OTnwHinVogsgk+rhlu8y5Tu2cp+GWV84ZYcy8WS
XzGsnBuLWyzGx3NNsCg0LWsErOZBz2IdnffjRGkEpnH6BkGvB+VLTa/kSj1qVYKrl8mTVVjN/aqB
+dNSX7UWOJ88Lb2fmbT1YPrSpnZ2bNLguM501yZ+c46F/OLO8Z6Q473musfU8q+1ANiD7r6hRV9V
lapS5b25ussaNUY9ROTy7sZR7AsUXgrb912eBtsCljp8h9l9lqM8pmY+3MU+ggBti7tqns4uPZT/
rLb+5e/mSf/XRxsJrf7t31xO+aKfTjYlsSku6nej108nGytf1lP8w1llcnx91+xYTNNwREL09xuo
+9P6OfhNJbrZRtHp9fs+++/cTknl/+lkoyqO0L5ymtt/oqGPzYzlK0mtaznbOnPreJwWu42M3AJn
5rY7GCUA4/rlM2gvC5ON/bWz/AvKQIrIUWmYfGZ30nfpuceiG9Y6Vb057Gl/bYZoluMVXBEZ2UEH
UkIMeFTqpzTD41uVd4Wd7yGKnVA171paiWALwaYLGlOyVTIv6oqwGVg3jEoBJhW6xsipxJ9WkX92
COFxlQDb6c7VtZNY1wbs3AB+nVe2x8JZreM6wuik78jfjOm8J7C/Nf3mneXa3TAlzqnG/N4s3auP
iBjI9XFmHQflA8HMIvAWunZVR1YTb/QZypTXpI+TMTwXuDM3qHUHE/sKRiEP7lJqwVvnKkEXsnUF
lu5E/zhdSkhXLe6pcNYEl4HSv86qjkt30l7nztic5gqW6JBxoaUFpcD51XHUUnV8JV2hUzg+rMBY
7PXdR6gDVuh9XTP+cmkATW9NoithKru3lAXWZS7KoxNozLdms1C1Lv1rmc0og97Eq4YvP+xApMDL
gyXIjU0RRw13n43wsNyO5I89e8mtnljGfm3QvVpFnatqiqoIqnL0VOh8+lLmB8uay61GZfU+T1UE
fSVQ7c44+JngD1UcG5ExL2CaaHDa2Rx7O3uyym1X9ea+F1a1ra38giXcGY/PdVEbRzjLa5RV/jud
miA98VVtNWCJ0TIs+daIvWVfUAC71XPYihx+9LDRH7Tvc+y8OTrEPjCJHVV4v7DUGtkdKCd/PyiJ
xDLoPNT1OI7IOljYTyzttkQECquVn7SdXdpc0MN3fqL1HDYTdhCR0FRBDJBcT5GdHG6D+8RMHxZT
3uCMqgF7Uqcj+uZVlDTEZqlL9BR589QE3DISxFNKy9VfUWbWz5N08k81mccQrmp9WAY4EeaM/YSx
wLh2fBYmaYOdJ+PvPbQ6bTj4E4GedLLZ73hD9q1QkrBOe9B2TCrtoPf5bnBwC8U1F0jST2EV1F3I
BE3Rk50PFA1NftQ1Vblxx5yyaWO+zefhzlUSp2QwyjalWV5h9esPBOve+3p97RGHd31jDPiYy+4y
IyS1sej1KbvWPbrLxCmoeSNuoNq+M7XhMQtEr0V6P3A0peZsGKoI6uvEd0VpOYbONC+Z5NIWj9/y
YGjU8864vzaMRKeaYXE7TcAng3Fg14wLriFnz7CWbLO61ug2Z4S1rE8jN1dscelD1eYnL69vJk9u
NM27lM5z7JnnAeMXLSrl2+T2F7OtUW4C4yvyp2G6GPBkH4JAmUZhE9KnrF+Y/Glpk57H0X5vCZTi
tC8v9UkHghl4j6sPDyDLV6w4svqG7EZWsqqOIl9u4a5cMIUTYE9HK6orn6M1MwhNjqkTzYoDOmZc
9DETHWsJas6TFraqhZfQoDl00JL7co6fdTE8NTaPB19vxsgrunM2GS9zQa+3LCzcrlIkO9wPeyOz
gCjY3XbMJauylSxHKcdL5uLPg8tGytPsm2D2/FBUFIb5jsP/2euI50UJiLUXZ3TuA9kzKm7seJfr
or3OAjqhcvLFoTYHUT93bzJ2mdLGLCL+7T6x3K6crajny9rsvwrbO9aD8wUnkHPMcD/k3fpKUJ44
uJgP/NDlLjWJsFfGGpWud0VB2D4NhMYVHVRroOFsEsZBa93DMrWMXxmxh2y6rYfqojQlS6qsfO19
+Ke1dWUkzV6z231CDJzXdDOXBv/uvKTQnjYSMKjMvBu4Eng2xXLs1cg9qOsULWxEdzXOAiqfrOWc
9gCGmdbB8z7QHLNN3frgqXF+YK4HrbohN9mFdSy9sGL2j0ETZOXG12FBSe4GLHDf4oERnHNMW/bS
N6XPyg9TXOLWd3rWdf/MRr/PRhab7r+ejW4AC/67xJz6qh/DEZt74GkWzhr27Kh/v2zubQAoiobC
bYnl/c/DEZdwVva251jqSo5W9311H/yG0d50Asekh+tDRvw7w9GH+P6LOG97ypzPd+EjS1p/BPTb
wFBq+q94cpcT2l42Ymhp/ba4zONyYysFPV0/x1yRzbYv9xNpNy3DfF2lMXXuyT6IycVkxfyp66G3
WIIrNLN6YOvnIcbfV81Ha5bE6g9Orj2JJDnFyY6uuWsjD/CS49Tm2qaEfgMNrZBkUJn7v5VKql4G
pyAG6j/hdCq3PkhpTtz+aRXVYTK5ZlvOeJNNvbVta41NAUDxdZwXdYe5VMwnTFnlY62RQ6o6/S1r
5Pu0mt98rWHtOBTppjPn+8qf+YjP9tO0aJ+71XZD4jNsqF1GqhVGs7ssZz6bd66BfjnXFWiwOI8o
u+B/jOW7E4PXHlf5lYg5uRVhqqdDFsYxV0JIDC3+K+urXnxxlpuUJD6L3k3mTN3BVdU1sdd30WQx
iZJ6o/orxElt0dhtLdOxk1YfvBgZZvFtNndUrtcj6qjy1lBF0aJ/gGzulfNGV62PkIlUhzjWel05
dCxzJNLmKt/Oohw86YeXZy2721H5ewbl9GmU58fEdhFKteNPlSOoUt6gqnW/COUWmgYYfrZyEAnB
XapXriKWx4AhlNPIVZ4jJG6Qx8qHlGNISpUzKVAepbiws8tY+ZamYJCnFHLgflauJprUabdplddJ
Sy1ugcXwbiofVJu2w6ZV3iiI268j29OQ0lT2KWrAMSCuhfCWxAF9/I0HskPODsZIrbxXHSasUrmx
hJOXN76VwGX+8GppS7YNjNre28rJVYzS2XOAv1UzLi/YFTiAlfPLUx4w/ubIdipfmC+AtpjKKxaj
1PKC4R+rlZPM+jCVYdAHc6qcZg2kHdbISMRSmdmIhHbnSXnTkgmXGggsdt36/2PvTHrjttos/Fca
vWfAeVj0psgaJZVK87AhJFniPA+X5K/v5ypxYvtzEmTRiwayCRDY5ZKKxct3OOc5hIXWvZ2vuXgm
MnPrgzhGtt8I3TRQftvuU/ymSh1c6tUwnPHLvKqFxKVSBVMKUSZFBRq6Bp7zGoUMwrpUauzSEsQs
9xwomFRHMr1kZb+OP4V5k9Toeajs0o+8qOadq2n6FW78hgmB05314aK2Z0ad+K063TIuZ1ql5hYW
NC/bVHlzPyvMZNQlZCOGRmbdxZNvjd2TEjUPeVUuKAc9ltmkCazHAlJSqqJWdOb0Xisr5ndd8jx7
ZIHqcRSfz7DGWfWD7FmGq6Ts3ZVlQw4hHbbZe4P9Hufj86BCNIlcEGOe8iHSvvOtMnkylPSQm0Bp
EENuDUBbPjM9eYh4F3wU+yHzPiruU2Xge9EX7q3qWqdGiw8MXRyKpuroqOabbnsPY65MaOmnU7+0
7p4Myl21dDfd4t2xJA/XKrgvvxlkaUKFm4TJvDXYWfhpOZnsGsozEXV+68bXkdqiQYjCejVA0Tiz
1OVlAmmBZlPfsb04ZE546RriQpnYf8ygOrlTcAiUfNkkmIYowdJLXtl8lc921qe7yBgTtoaDsZpk
lU1rDYTSrrC0MHDzOoszSx3KtW00J7ZEN7as11NZuUclNfwkq/lM1vWOrPBnhXjGWlb9YSWiq0J2
Ah23y9Wn/HCRfUIr37SXvUOKN2mrdnVyncvOgsIA/JDsNjrZdyjW5G1r2YsssishXpL+RHYqk+xZ
Qtm9JLKP8WRHY7fWB6CZJcjMZY/B71Kl+SlogqyB7swQqr41ZIdkyF4JbF2yiZHobnPZSZmyp9Jl
d5XCBUpkvxXKzkuXPZjLLmcXy75Mlx1aLns1O4aJMMv+TZUyKqC10ZUlu7tY9nmD7PjICWBmJbvA
RvaDkETxeMoe8fMJ/692W2Vp/+elTvCe/9exan86CuKFv1c7xi8W5YoKNeRXmdM31Y7JVIdsMBq3
38Dbv4+CdHKtuUnRaMMzU6Xc8Gu1Y6L5RoYIDs+2Dcthy/dPlhxopb5bcZhAupk5feZsGSaZRN+v
OPoQMGq+lOBMqfzVLDl3osw3xvnXahj+Q/SOzSEn/rn8L+r7U8Wx1f3Pf+ufu5I/iip+E+SOUloB
DAGYnvUjhgDMVkYjnIkT+sps30N1MdfWMgAeBXtR6REmEuFQ3vfVpTcP501W3zl6C4SGfbIvgFWt
s1bLzsYWmwYSI4hzMyGYikVOJP6kR9HVOPzcmFm/nODEXX5T84a+XuenSk2YjDol9q9GbwIXOItv
cNMyHXDPmmLyPWZXfgkHJUBPytQjKzehPW4QvWPiAdsddNlEfWA+KK5z4ZlYxfg1H2MTYioAgBsU
+tdKMR0VxTr2iYqRQoYBA2ncg205irCI1oWn3THtzVdqNGJjlLPkYeyvoL9shDk8eG77rkfOc1TM
T6204WcDtkZoaicSHs5syCYbHJ072wvbbUfKhm+07V1lR7tEZlvkcXyGAva1FHG2GQu1DuwRzHde
TTVPBDmGwAi90frlWSuK0V/M9NJ0240785gjKyRo7Ox5cLS7tqP+nIphVWnztdMMW8vTdzjvFWZd
ILmEaSQsr6FvxbqFk63O/aJvXN/xnr0eBzyem4GqZdUNJsxf+liXTR3XL93iff9wZ1Rvqm1dIFpn
Ul4yamvYN2nOfNQFXKCZBZeItWSTafkJDE+6MQyxXQrzIoqoyXrN3Hojn20sONMUGzNo3XjPJecd
Q8lrHsRzYCzdfWKjJYhAsqzwst50YthrVjYGraG+qXyLV5GY7/MksbaTsVzqE2KALk5H6DHtFy3X
v+giZ480absq9/bUchpLJbFlJnlVwNdDam+fOwbZsnZevi1p/Rg7XeyTLnTLOicNzMbJdmIwtgzi
fN0IN4wcgMPwFUOgYAqkvFPcvJSktbabxVUw0ln2hG1OnTIMNrPegiMCMFQGqiM2mivkfKGFoptb
bMdnXJkhvnPT+CJUb59YRB0tVctSP6vH+4zwc6YgQiOY3UrklmbSkiBL9b1RmzuNgWIvIQtu88JS
8lrLlHfX4zI1LBoqvo3MvcbbKep6yg4RVCLT9vgPmeCJ8dxt2fEpDMEwtjFy6MZE6gfFk5063XqK
6osoUUO/qycWoZLG1J3XKUz6vtsJ0T8CG8Qi76UkjatAqypyzrlljTI7sRo5yxVlv+TUgpRH8XqZ
ZkbLY/LFFlgWU5FSDQzaNXi07VT17xnrSn8amALZNWnAayRL+9hs4WQpu9l2KEDU58WaM59KvlvN
RIqbN/iAmccNh7qSPlLWZcQ86RuAB+TY95jyjbUwzN2oG5tWi5l9LvW4NZy036gaE+FoNJ9L7GU9
OSRBqLQttst6O2jl5VyJp7ZKmQzO5j2QV/cCR4bZ3AKR9CPXbMNdpRda/nfH6PeqMnmK8rgw2edZ
yF7xW7Mh+FZVhtHFMMPZnk8C0+fK3IaH6aa62KdkCb2UD9RAe6Yvq/CMldoQpFtj/80D7ifHuBSt
fX+I8/Z42g0E8DrBbPLH+0bU1oaDNSr2sJxG56UO957ar7zpWamKXyuKP31c/Ox9dPLxHDxF4Ihl
ktm370M8OgnsULFOWnIOkXaV5+9etEcS+jfv8/3T79ePU84MWLsAOEbG9P37NBA+rEGL1ZNtnbU2
gQd4ms2Hv/7MPscFP35o3/4yP7zJEKtqpxOFcBo33T06qPW4U7+4gRSaXUBHj1bX7Zqdwkbf3R3d
IF8dx4tkc9+tw/VVehCrXRu0533AXwzIgw+q9f1f/3z69yLnXz8EqW52DMtAUvFj0F4O2ZPdtKqd
WLwcwyt1rV5oD7SAgEP8IZhXhydtO/nHZiN2luUXZ2zrr5hIb8Qq9z9/lH8LSZVr/ueF5IZpbPmT
OAT5qq9VJJkH0sznUvkhb1FNLuLvC0UoUyyHdVp9lb8hkd5/KOX5f9Qw2mehSAH6exVpWL9I+BSK
VwcbjByb/ZMq0vlPqYyno2ZDcYubhe+Q8cPBlBFS4MFdcI5IBQ5R34zlRS/02fbTYqxrEI5QDbau
6DqAnEU03VfQCOagIiKcHWIaP01GdwODcg7irsx80Q/bRkQBJz7PQLXUgwoPFg14+oq2OOHxQa75
rHSA58DDsVLFpZ4zTMOnzALxgYh6Lbvq2eDd0CLuPIE52cHnnUPfjNREOWZh6dIUjdjQCiV6mus+
PmHJTexTnM/OySpdHusmchJjZcOkqgIrLNTy1gaEugkJpxLrbtLCHqpuFyf3g1l0uI8z8ZDpXsy6
NKt2SZym805X2wuImQcxWNdWZM6MuMp7dclvB5MdQBXXb6ALCGqJh1fwjIwgetx0mvEaS3Jgq5hH
e9DhVk33Q5xYvoE8UhmVQCnIfYok28msay1wZ0SlXYnfXTPjB1BCLhVJBm3HuslczNv0k8GsJF90
z7ktBvNdNYECdAUfiuX2V46RQRSArbRj8saEP6qz51mGKWQi2akL1UAji7oid29xx+ibqsxKhiO9
sppSfReTxFCOI+ZCkeyN2EBKX7ClhRkpZ3tZudbTBsCpOh+MWr8K9aHwUWtipDT1XZVR0ugubn5v
nvT9PGqUo4P6Ra2gLQxdAfHVCuEmddui9F6iuDojLeSsMxAJJS67IGPxbpyQlQgs8s0UKl8sb9nk
6rQnJOcYtWzN2AYHdbvYu6LEX9CRNtFX1AB2IrLVoBRvIvamYJzLR77SPWqO0SGxgh0tX68rwE09
Q6zq2DOmJSwwPIGwvbIiJJtRrF2HtcLpSIzaSp1ay2e/28mNcRBb1eOQ6u2qivpDzxXsu2GDVyHZ
Tha4NFttqvVS4pIc58upsR60rj96fXKb9uCzE7W7L6L4WhItITINWy2ylT1JXQZcyfZ6dsJb1llX
SzNwi2hJHeCjiFZeksyMdMLTEC67OQ/JvZiUt7ZR4kA162w7W6EKjtEDNzDgV4msbusyDgoAeC6H
qnYuUxnxUbmW8OuhNPxizHvWr+Ic9NgXPB+HZHBJReqSCzutW/iezhkuCW2renIAgVJN4wYITC19
adVakEzRX3qt+TgqUEm41cdVOhe2Hw/GRzEPWNDr6npYar8fHBRauDgcR7KOy4oFYTbe6UTW7hST
b2coc/y6PAFcoS8kojmPlrBudKrl/Vhl9DetvkcfaASG657HI+twG/WnrxamuRFNeplEdmAr2XWR
j8co5rtNWDYCelgzSeGd9KhsNnZOwpGoBT1Qy6C8Ke1boTUjLDD1I9RNbPn5m2pY+0YYKnAa+BGh
or+bnXLfpY7nF0VxX4heX+se9py517aJXTxVs3lmKdUs+RswRM2DY072lZG6tYNUTp3BjTevBviO
SrcIFZL69MFqLmzJ+FiAfVjj8toa+lPjesbOkzyQ2nNOiySEuH0Mg6xlsAWMECgEIBEkrljhnP4m
Lnv2XbWa72a1mpn1QyBBqPBc2+ZNXwCYFWAl2T+GIgAdmzJmqksUz+pxBIu2pn94HxfWDqVlX6SS
fDJKBkomaSij5KJ4Q4MOTRXIHEzxRhMHnKWDo6KGwjomkq0CXXSiudbjwAC8IiSBZXaB4WlAWTJJ
Z4FxgKgbXktipTORxHF9UQBzmYG6FJLuUkjOC0rRaDUZfFvrNn2zJQ2mDtNlbQGIiUxDkmJgxlTA
YzLIeUHs2PnGdRmxcx4u2xLYTOta0HkVNo7htpI0mlhyaayKLJa5E7AQ+sLbTJJfw54lvLJLvd44
Em4D5CZ1EnB/knvTNYDZEBioPnia+RAPw5cMvf0mlsQcvTYg8zHFRXUVlewiyuVuEQXXhrXJxpLc
HQUj4ioCAbyygPLAtKXP01xEbxZYVcA9IQAfJVkKoL6EWoYZMD4gP0hcblzFsc+XrqGXkiSgYZxP
9RDfljotbgbseIOmP1kNMEqIA+jf7KZAFMEiaztJztCsRb2PznxaaXl86oERlUy4g0zyiWpARYhX
z3EqBAjwTqMkGRlpg2uaYFro0O3RA3fkQn7MuxBVtQPayZZMpBw4UmW48zqUvKRogZykglDShuyl
ypRTDlopw5bgq9Tz67TVYJGY9XuONjAqVBJhJJuplZSmAb1EIHL1qZYEpxGUU+gNUAk1dQxE04Z+
BfCpdFHKplMa3TdxjrsgfLJ1Fv06ty6o7w8EJk+WoZCs1h/rz767L94IDPLWUKYz2ND5/SDpU5Xk
UOkAqRa1VgMlTy602gpZ3mRneUslYvJMtSTPSgNsNbkd++Tw3JXEK1ZKB7QbXtBkLBis8qEAjjWV
OqxHyctqgWBzQQ8NKAwrL74ooDHExALKxjABuX4H3umdMdOGvKN+20HF7mr+VADaUFMVZP5ZkbLc
gMFRd9mLN6SvoHT9emS1kkLsQCIkvzVAPDpoHksniOvMuDwS9JHi858k+iMJdbJQoYFADTFWDNxu
kjTiL3OAj9BDklamRkmgCPjRZEvl9kwFtk8m/IcSPmJAIVkkjmSAS2LDJwk98aAZ/OMSXCLC9CyT
KBOj6N9MFpyRA+SkhnbCdgNoYHmvGTzwPCy9lgSjzK5xZIZx10pkSi3hKQoUlTrxzrEhMq+DrzJg
QyaS2cIzD3sFnQFhpDpOXU0UJLwAaOkkqgVxFIG/Et8Ca/SmkEAXENeIm6k7Vy60F0ViX0qz3Ttw
YAQ8mFiCYSLhXs5auq2gTMEo0t1tO5eBNp27MGXYqjBclJgZBq7bNB3xA0GgwdL4akCksUX06kKo
MSWqRgnVmIvVvGBZYb+pC/DOtTq2Z9w+t9GMs4XQznutdlbgEKENt2t3Z0T5TkeRNfYZ+CSjvirt
tsA4UiY2lEPT0pSHeKwqMrh08kMOTJdEQdixGN2RBdOozFfkwTyXqpUogRkyp4gWRySQ2bNDhWtn
NWUA7FUFlrEXIe8i7UlxUiTmmSI2iVkFZpENQThWj2ge8Ea77DLHOdIAb6RkcZQ3wrRRThtoYtL2
wUzwjhYUXkqY9BvP8vaxY77gHT1NCSuX2EFPHSd9Qd4Od0iWmc3KEqO2UlDB8DjBnJmpPNhgHNhc
P3ntqM0HD2mzF583LcmEeW0GU+8cxz659AbnHB2ityq79EWDCNJ55jnWV6qbqn7l2YIOL8/9rHTv
uiQxD/2gvi+A/LdLqoJNHd2dOQ6nBpoqRR4aYlqJFXWNCGDufGlFsTNwevrI0ZZN09nnZkOaBWyl
sndG3yoqsePcPfcEAzlYVD4i4G43jNzRqc4bYr3yMzPvVp3GgLBDfIcablvrVLuelj1nTeKb8WUG
+Sll/SQmY2+xhYYINB6VrmzIpe4vCwsgztzSnGuQdGfAdJF6tMgxzMvxaOqXNtAhhcVc2yrRYVSr
BxIS9n2cPPVOf1d7FQMp2CFwqifbuWH+5lP3HudGf05qTK0seDdGEe2X2Vn26ZA/8wPexTLP1aEW
XMcwhc44FZ7NohofimVk/9qkZxMM96AbyZ0g/OtCjDMkU1t7rEeVCVl2JVjqZrWLl6nr+SZ4T7lV
QauOHwpiUv7dDP0mEKa//fOGfpu/lz/hU6i86Gs/j/PdtYBF/2pT/+zMf+/ndaJakbFgPLEsHV/M
H/289wsFLeJ1z6bbZyn0x1bI8NgK6Vje+Q+zLMaD/6Sf12z+pW8mfQRJmRa1DVAhnRW7Kf+57yZw
8BMcfRpc71IvWpRllrbU2/bTzmAoZayvrRh4+TPs1fbK+DQ/FNIHsWCIQMpx3pZexuMie81Q50rM
4qj30WY2TXxttZFP0vqx7Et2w+th9K5oUz8k/tzHfsDjUN8qCMWiLqFXabYqAjIXIdlUKzsFYZnV
olx00uo8SsVVJrVnNrIR+r2do5LUSbuLxFL46BfJlUC4xvbrqFMBJVLRJqS2bVDn3SzVbqWivabI
3yZ8gPvWdR6R7+2XVrxxHl5gRsktKcG0nzysm73U09VW9d7ObpBJpV0qNXdI8JvLhURshs+lr4/a
rkGgN0qlnpCavcxQWtw76PhUA7zWUOKo76rlgYnBBbFSBOVIDWAr1YA6I4HYRGtrDNGmlYpBrY2c
dYqI0EVMCF93DBqpL8TG/1QgOBzSlKq/ugTuzyasCK1NIdWJqLH3QuoVvQTxm8YcP1CFCclN6hrh
9xgBvW/hI0NnUD9fFRYEmwheEJaBL3MxunDAUEoSVHPv5sy+SSR8wc6EC1PTPnpdOWjILEU/n6dS
dxlKBeb4qcWUqsxK6jNnqdSckGwuSDcLpRSPXM+z3npeCvsCXIkPrRfJX3rAW3kjpAa0xRXVBYy7
m/hc0cuBx1iSRdEK7H8Vw9TtM685TpHl7PPONTnxx3ibuC7LD5xS3oWOw+LgZNW4xfJa7flcanVt
qjhkCab1bkLUj56fz9pE7n3FOGC0ZghKrWXmQT5M0VabqzhfAaPUz508H0Ab2u4Ot7L6+O98kwab
RcRfagJxh6GS/tJz+pV90s9/xFrL1/1+IhrED9qqtO8h7sC2/82Ek2RCRvREV6tfpX+/TThZhkub
P25Agy0B/h4m/L+pAk1Uhio4PJbOX+ei/0AV+P2mwIKTphsuvB4NgIkOEOSH+WY/oHQllUmcBvUQ
oYeZr6tu+80z4ifLlV+X7d9vClRQQCZEPgv5Ib/v94euRph8mmZdfTIEK2mpfelYQsWGXhqnWMVz
LVemU3a1VIntHmVI2CMnhJ5duao1+7FaTPpBt2u/IyWmicmgQCVoG8l6STQGAovhz3N+CsnkyiuF
7DAPCW9106vs4+ZYWy+Ncz0l3Q4CR4FXioibpNcCy2wOZFVcKm72CkTyRUE8M9T1HrHxI7h2yvkk
voz6bu3q+d6Ju2alTe0HvQ2ZIokIck4sTIekySisw1ZknOyakRpzcNI7TNyN0SHNLR8jW92TLQIS
XasP5Ge/5yQMrkJER/VcvIc1AAO3QDhVqRPWAGhvWNPOw94RgVu2WFaEzuHsqK9TVx4MUyG71ixv
Rw1tpa7ftRN3t570D1kBGDSexVtnm4fZbMtNk9ZwiycReI1jBFYSWn5YtTdtgtzeMbHtR7NxUUQs
DfvOuMohjfKMGx6V1NgsgtAVnt9I8vX+I3VIHncTvSIHoUJMYZ45ojXXNVT8VZ416c4mTnDF7CDy
pxQhU1LrWNpGFz0ngEiNLDeDywmtV7m2hFIS7Z3fQv4Fb+5mT0rTmitd1HvCc9Jj3gsNQml2IBMW
9oLWmOAvI0Jx34y02qAjAzwrdN+cGjq0vHwIFwwsYeMycIq0Q+sObdAjP1wc661O0AaJuT0bHPPN
7Yo4cNPkwy0onyOijAP4vrdRY3+YifDVJnknZlYw9kGLpMMt0CbXr6CQjnr3qqUpyV8mY2HUE/s8
IfPKHPtN4hIONhgsRc2uRzypqB56tuE0eMrdGKFRVPIex1vcytn1TTT1TQDWdfDL0FjnYKzwQzjr
RZ7Onpve6HjxgOTQEnnjQ6ZSsSez/ZGm3rNFCi7SANa4xpTBWQ/j7AK5U+tHaVL7nCt34NtuStOq
wRcYl1HuOEFcxYIv6/Q8pjnfHtHA2Rd8Ho6zPGV2yEqf5/eYlu+mJuzN2Kp3WZTTp0CAnxRJx4l6
5lfKR6+4T5hFkFahoXUMja3EFBL1glHCrkBgGQhQ689lsDDbJtzVfBoeqpLm1ooE+kE741vu5dld
BsZxby1TerINcds0Os+g+r0AXwDqOCdEof5CeBJjaYZU4JuZpmUCu2+bpA+m2aPUR57c2felt562
czyn50VFv6oo1+2QerLSyBvsAAXe2ZH0BsWZqoB4u8rvcstaMdLxI6Nm0Y5YGKsytRj8ZvwYNfem
zAo4dpXzGLvWe6JOzYpjDQbxom2KvMZsNZ9Rzr4o03Am+oQghuEpGkwcC4tx3ZbaGjjJdaUZe6Ep
1/gmAluJ7vXMfupci82OeuaJSEImTsSQXSxdv1kYcOPR/0KzltOTpkHW9dkaO4CfQT1xuha8AVM+
eMxHB+9l22Q564AlYEsi2BLRpqeuwqxWuZz79r5IvGwd6t17B3lBb6YHpXu3Br6Jo+1sDBMfkh9i
9ixWXigoYtNhVpS1Os7OvRON07ZpWt1PI1IkLLfu62NmGI9FZZJQsIAvGEsi7/KUc2uVVWaNThEj
2rafq9Z3c+oy1yjus6bbgFl5FCK/hxD1pBatcaUO1nLigdds2rx5aXRtH7fGlyl0LwmeO3o56dI4
URKctqTIJc3o+kqaJ5tiKbxbk6y3i6iIb5IoemXboPgiG/KzlkaRYrNHA1AyZzb7+KnUuYoivk2S
Kg08QzkMY/c4kNHEmNEoNqHUddT8fDhcePYQ/MUZMCi5HXRDvVwqPfhbO2VkO4PnXEct2Afu8u4h
9LohMHun2HE3u0GT94Fpj+Nu1HqxZTJF5iFaW0SJaky1hx896pnYM4KzdiL3tB21LCFl/XVnIje1
tW06ygJVCWGOsENabO2WUvux1aabyGrtPZqrR6m+XZnREh7/+rH7n+tvFakLgAebXge55Q9Pdjsf
atRszXCqXKIUtMvUvbX5qS26hfTvtADfVxFy1U6nR8SqhuTPYfkqu65v9BNdV029LjpxcsN1mN03
8yZW/mad/3dvIf/8m7cAN5DnYsjFqebGBH6zisdns77568/sp2/i0Wg61Faknf/wJl2cZVNaCnEy
2tumOp8UkBz7v36L/7wsUi/5x1tIicg3v0fPBDcC1SpOpntTNJsFuCpVSOm8pPPfvBNL8G9a3d8u
yjfvJH+Sb94pj0ersHt+mWZeVlrJqko/DAWDEwTdoKaXv9Gc/Ke2RXNRdIKpUw0DgoX8cb55ux5U
9tL2mqADetR6WLT2bRSfzcW/vcavoxcNieqfj172Rf3eJi/5T3oNXve119BoKKSAyvttwsJ9+HX6
otm/wEvXHA6Dz/itPxxIBg2KYTgqxT8vxLjESfHVgaRDGwUQglaXLoFdyz9SU6DO+O4rSSwH6SGW
jv+JU0m2HT+cE9DtwQwqzXwxGWz4N1oGKAX2JcrWD3VZSotSC8wTT3eDbeyyq+wsEzD4p5QTzMad
E+rMSF3irHatNjozrl39LSKs1Cer4wUZ7U0WZsVpzpBSNoutbwwLIDCNVHdR2fZHXLs8cQu94G6Q
GvVhACLREaXU4z4AX6xZ5wtzyr1SwhleoZMrZ3+yUUykadQea9AsPE28c/bW2ZlnJ2XQ1WLeINyt
V32TYXZEouqjiGUTj2rkaI7zIbOSc7fqw7MiybNNpnhMVBkukQyp23iTIaltJo8kB6PnMdxQ4/la
5tRBM/FEbNwBxaSpPOWc3rU9lQcnHm41O1YpdpiPM4ev/ciblWOb2m+i5EHfVI62xR7zsaTpM8P2
roD8pRV7EUL1qM10vmPHFLIUji8iIB77IU7f+2jRnyh72b+jCNmMdt4ETpeT3sX0AEyGV3pnoxJq
a1uoysGsJ/XcQiy9TVDLrqJ2sM9bxwG+GqU3dEJ7Ec+3pKyXq8rEkaO61ZVjsyxE4QuWQzVtylO6
uCVj72GqghkVUNVzLR6kuaSNraexJuYxVI0MB8us9Vt8wzNl8tK2dnsZc+1GLO3JxUywKbKKiPSB
Bo6FKkiL9RTQF3iJUHswObH2dT/rt4o+5MkeY89yaMfSu0zGGQJdtbgsJCBGGeGlx26C3QBWk1Hz
snMdmYYWFcuNibdqCj5v2n+VYBq38p+fXmdJGXU/Obp40e9HF/gjx7QAGGs2Wgd5NHw9ukgiJNWD
oa3pkDokH8pfdWD2L3DeXddx8OnZn/Di308ukMcSdezoHIWkqDv/aG7syGLpjwkGY2Nsnfx7MBZh
SiBT+3GCERo9cmQyVkj9Mto75FCgf/xyLrQghq/jrFzGnQlW58x4hBk/Md4V+ZWqGIAQDIKI22Tq
E793VIJRZtfumn1RtcQ1OKOBxc3qoBB3XXjARMOiscqrJbuqEHzVCL9sLX6ehN7TghnH2S6bwJQq
scWZUOw08Ss+Nix0UkvGAR8TJKf4EzIzhg6ZX+jZjPOwu4m18LH+FKUBCGTfnn+K1TLiuPxCKtiw
kaFfIdPMmWy/Gua+vDCVGR90nIISS8INQCSBiwqvQViO9atO7FmERd/v7SL0tbrcdBO9dFWkuyZV
dgk4JrJuwbQbbbrNiYoN2I7eJZHypl/U5XxRmVlAUCwfT77QEuXhrda4V0Wlrr2ZvKHlSuvtOzF2
D2T9rE2UEd7/TULo/0PAOLfHn9+I5y/Z+0/uQ17z9T7U4RMzwWOF47Iq+XQq/34fGvibTW4orC6/
JYJ+vRFxKjOkVB0o9DDKPu/RryWE+4stAxkcgKEy7QsZ5z8YVxIa9uOdKM8A7kaX4Sxu1x+lzTw8
QVk3pXWZjXl0RlhME95MUwYS19YJqBEmwJLZwT0CECkAAJLvzZbhjjUo1i4LmUcVs04RLFQexWkO
jlEa3laYs5nRoS9wLYZ1IsXSR37RQfFS0KEL8v8pVzfEKvPEQ0fnLe67lY40lzNiTkzAC2uHODor
wRGRZ7BRPvlEklSEwYRnD+yiXFKMOskzEuzzcwBHC0MJoUfXjSQfqZKBBOFixMzW7vpFO3qd9462
E9CZe0mY6J4e7wZ54FYBq6RIvlIZVmcNwKVWkpcAiT3mWOFckEwFaCai4KcVFVi8MiW3SQPghIJl
b7j1OlXDJ2RIL4MkPc0j6X1ZD/0JwSdMJYBQhiRDtS1SAAdYVCOpUVmrs6bJjw2rd7QO0UUDYKoF
NNUv5UcvyVNeT+RpJQRJkPWB0BbHLyoYHeCqyG1i7Qy/ylsILczY3Ts1bCvDmQ8LsCu3ja9mSb+K
+3Q/SB5WI8lY3swxKFlZtaRmpeCzdNE8ZeC0QEZVvmW0yyaa8RJGdfxGKmHrz1hCg1KbtzZgrlwS
ukB0HkvJ7BKS3gUJ4b4OY5OohI9B8r3sDNIX1QMVmUVevKN9KJIGxpz8spF8sEWSwkanuXUlO0wB
IpYBE8uxsngjfmtzrPxU8sasqMxWk2SQzeVycIGSOZJOlkpOGfOIJxNwGRrZ50ldrhrGDlQVT6JG
NtWCOsOthURRZN4aP9GxcOZd1sFFaz8JaaDSJslMUzSLAqWONik4tVly1VC8bxxAazOuBqy5LUor
gNfd60iDdj5ZFgVTIRdAPcP4PBByLcTvj150lrsiwhfZG40sQJ1V7zooR4ka4krpDiO2JuTFmfzE
Sa0HqRYi0Wf7sfEUxEP4vcHooW2Od/OoXi7cDFezmzrbTHHFVc18jchX/WAYqeEjr1kZDa9Zklq5
TKOIDKNJrdYG37ZVazUGpCBtZp9lJNOeeaNFOEiVHFx3WrbOaIk1MqeeAT5KUHUcNwItlKtGl8jX
GJfo2oVBAusKstQVK10y3fL02Nh1stK1B+Fa801LTvdTCfhppTewRA1KOS1s67Xb84VsbSNDURKt
RrPnQVXWxJTCkYFwgpG70MFxOCWGI00M4xHZJW6gyls5ynyR6Wj+PCalAzU0FmFGiHrSvbaDstVQ
Aq9GIlVKG7evabkHxTWsgxblblDVKVQ1RvrPusNYGx22IM9qtFemfFCWsYMaDKTSRiH321/6RX1r
NP0xLYpw44FPWYtWuNtywVOVZbm1rQo4pB1kKkIGmmql6fL6hnaxWszwrPHibS7EMeGOAow8HFKv
vYoFv7WqWMT/Vmca+fFJAX2x8lCJpEt7QUPv+lOMss9wB64QEV4ouDYI2OdNURZXsZWYQSulochp
z9xoiFaiVreJlT0hItoOSnezZOOIn6VlxYKFibjxi25o2Y0PGK8R4G3Dut7ZQ/cRGWEcWDw8gloB
eawx4dQv3Km4Lbo0P/fi8VTyidI9JN66qKyWGkeFKNE/UPpg1auBTbjvU6VrzI2LQ5+JaR1p0xbQ
/a+zoH9LdeN/2Tuz7biNpOu+yvcC8AIS8+VfBdRcLM6UeINFiiTmeUw8/b8htdySPPTyvW/adtsk
RRLIyIg4Zx82kH99Q7h7+dKQcFB0f2LcWD7y93vCwiKHJfJ7zf/hvo4GBCEHDoz/3Ab+e2GHU65j
fGLpyF8Q71Hd/3tP+MYk1U2CvR1kIv/kniAWycjPN3aaAjCn4FPIbmKS98s4itVM0c7lNF4mivza
6ONqow9R4i9bityeuk2rpKieUK8Pn8ckP1acu1uLeQSoXQg+gQQijJtCuw1Dy1ccM0dTVABdxGZx
VLv5xQzEfOX2HQynuvXtJF22+sGd3ivWuRiATsiBEXiFAeGKwamfhNFjh79iRD63iV3nAEzsYDTa
RzrJxzHKEVOn1J0GPIrYubgsVm4CGQJmWUUWJ1OMWeqZN6lGS8tPqB3SlvfENh5GS3lOB+V9HCLa
djSe62mU2ELK/K3O8YWmqoJDcugR0gMJGpdxyuBarzLiAo4ZT1tn9kCCcN/FXi/Lxygvb4QV+laJ
9suWrDfrvhsYkG/7ED/kHi7lLYq0M9qY95mBgyyuLa0aUTWmV4Q8b1jyPOW1DsAt+BIV5v0AvxIA
2IcMgcfGmbhxGilJq0QcNoTtQ6l0AvpLB78yizICTrMJ6yZkhcZCJYku3WMVauxaR03WesY2jRQE
G9YKUYZ5jCG2DRLXB4oAkw88dopHc5Ur+rbvleTWxPfqTSKjPkpWNlqMtdYsFf3MVgUkQzmyc0Oj
fJiVhp33lK0MpVS3/dTu0QXEOGspesaCUu6/UpUL4H3hWbRz/pS0puIy7akrfnwEIk+6BXuW/scv
TOeDBe9uioZL1C1+5rzt7HMXdK373Jhz/JZnJW5wV8tc+iot2Jgtwx1bJZAdVkW/DoUsNpUx4qCb
RfzgjM5j08UTekD3OQWFh0IEXetoJMJTqp6qL517txjRYZsIP4J+myGkZjimPSg98IUeXbs/BXOx
HcYivCXQumbLJIpLu2iAVX6WOnqdifCNe54ATM2Gza2mzqbrQpasvvuxYk86vLZcHo82xW9tJdE7
YNsJtSu1OyYzVHFKGCJqj2ZFQQVru12/a/qg2YnGyu5qq84uQ2kX96mQMG/AXEH3AlztdF7XWcpq
7ucO049J8hn3qD5QECHofUnOrryMnRus6bdRaKal65uxGI8dA0uiHwPr0EmEf0G1riMw3dJgHcpy
CH8K6aWhgQJTTIayVxR3fOY6M6K+rQMvdroCZGuZfkl1s91l/chFr3aI2YoAhM2d4zedO1Pr5gqF
uEnlHHUtOEWh7pydQUI0tDHJZwouVUD1HiawZjOpzuR1aGDPijNTl5lqrlJzmv1/R0ffRDYsJv66
Hp3K9v/+XxG+Z+9/NkDiQ78XpCUZi5pDfycYHPzkJMRkCOnaMY1vYNJFgvO9cTV+oxZRx1hd0FIu
3envBQlSN7oYzIko7GF2E3j4DxpXOuqfyhGAL3URwZDu49Kqqcu//2E7koDkccbCTa763J9NG87g
1qiffvjBXH8bR/0djGJpsiGfmuCVNdNgzm/+svKpAdSRf2UmV12ZxJlXOiqQTBdl3zqABOonegsw
m6YBGoZTIJGPknU2B8eBvu5WraKbLHa2wozi06iqNKWaYq412NKrTIvVtRoS4yPyfT9E53hwd1Wv
ndR5vGmlONdzeZwa/ULe10FNUrbFAzK3RK3djb0QmDBYS2jQ7hukAMBfac6/7IBPoEr7iMniwudn
oUPkBHNdmgy5mmyOWIkZ0TqMypxvg3GyvU4BuZi4AupAP5dItruCjYEwHgPdtbd2ZurPIscLqbCi
2sZqGll+1NdV5peyTp9K8A8o+jHt7UIX781e0xFUc2V3rizZSu6Q2IfQ9zkRlCe90p3HWdSAJGuR
bRtltsytVo7sxteVxr2jXvdm3kkSTSZTuQDgUM58/soj42CVLoKBcsmg5RrrWRyGWJoIQWtsJ97p
mZEe+qm2nGu+Xqs/mzKE1yRkSUAsspzb0m7M6TrSEHzWoXSPbmPZB0Ql4Wf2O8bTYIPddDLJgLor
emPvlPSla25A47xzCKmEVTm27kNZOpg8SRTz8R4anqimCDA1psQ6DOV+EObA7aWHac7P/ISVpn1p
mWBMErG1nByxcut4r6Du8G0NYypBtuMtCqFDAkDVd0vNvQ2lCUAgwdHnSDfalFWOEyA1PBCKpL3F
T05uDid+dYNn1cSQNx0TylbQME3ZFB+suY98m15s23WZti7cwLhqowFzgqzbraUPu9Eo0LJMor3h
RNcIXczPIJ/PeHsIjmriG6M090RYET5iZTvwLakX6up16453nWYPDygcnA9kVQxdUs8aJ+ujjHvP
zOHLB7V2ryr9JrS6jSLK1HcVsrsdWqGJlrC1qre27d6LuHmXiXxknsllYDi4U77hAGGdNG/JfjhL
Z/AIHd4RqneaUQ2FzfCqmj2zEWWTkfKgQ4VrevkF1SdRjl8Ctde80cp0gi25Wqbm8Nm04tdstgzf
atP2QFsMlmmcT3B793oozhbMYdBsnyt+fW3H7a9wbJ8knU0onF2vzsQ3t36YB0D81HoFqB7hVVuo
e0TNiadJuizbvuZ7vDXJmvCmeA4ZggTYgwY1PhPfjCEiEDddRuEinesYiomHGa9fVk8UsMDmKcvl
0eUlUktAX27jTRgSnUo/GVP5BP19nZr2XS/Cm6KuTjb/PAj3lPfDTeQyghGVLwIcuWE4AfkgISeJ
oOL3TVmuw0a9SpX0uUy154p87LhNj2XmHJJeu5lHzcvwUpVZdiZUel1ntTzOtk08KQMqB2dgndq7
3jU9t6Hdjwi3kfN4cMpZ7uuZABO8rQRBBzbcuSLzZAhK05z0dFu71TZoEerMUqk3f3/y/slmU3Pw
m39VbLIH5K8/n++R1PJWAj27KutU+KRxAPkdoEoDpslOXa6Pnk26V1hGOZve+V2r6vamrlP13pkd
8lym6bZvkpM6BV7q2k/q1AHKsz6KNAkJlEcvFiaYXRlbbcqZZzoLoKsFZrseQcHRsAzCs51uhxvn
FYdyv46T9lGwbfXRrehrjah12FrrsV63016rUsY+QbHVkmYrjAFeCeEDuf0ms/wO+eKhx6k2t9mh
7pENV+XJaQWw4lFivpDxTkyRuYaVQnw6Lo4I6nVIXfJatb01ZK+tq8g6qJHLe006IlJGDUlTMz0k
MWlwrsVcTUhxMWJYM7VlsV+N0/NQzVdRm+zT0dya6KxoFGpysFOS6x0cgbkTbhQM5GZYnbIQU6Bd
iEucjUeQnTvqGorGCpNtKVtSuJtLmmS3iFSY7dCGeRbEyLVekX/aNNcxt10vn5nENk3yYEAGxyEe
v7g4f2Pu1cyuKij88yZN68UUudWqHFqb9jnJJSEWFtJyYzdyDult+Va69kmtsTGFrvIWaDAfK3Kl
mHAAt8xyba9Uy1nWnWLb+iRUeI0qYElsW59lLjTSD2TqA+S86LOpeRgPFs974uzwVfaPJYSgIyuU
5pyVY/4/VCG/9sVcESwkZ3AVsNk6kEd/flCZ9oxTQ2bEVdDHnp4cGoDof/8y/Lwr41MCg9QY0NM+
Lts57ZddmW6xyHfcMLzKLPi51iXu411c3TYjTPSGgAkw7G7y7XL8l2AVdg0/XbD++FWX7/uHC1Zf
pV1l6IpyVmVxhwaBLQB/Q1X8ROCxXMGvTtadYz5Zgb4fSMKDcIXCPyvGxdwZl+uimT+Vin2KO8Dx
KEY3mTtqr05k2F6uJg+Wk49emMqjnRmfrSCdDlqmWz1PU1H6/WwXvlMpgOYr9Gx2IeW+n2z9tSwg
7rAd0P04jr9kPKt+rVqRxwksPdCX6nro3bveyGYmqOkDI0Gxz0NE0bJ7Y9q2oyjdt02zsdoRUpIJ
lluNFCb43FCysSi2cu7VdY1J1mtGE8d5PN2KqEAZEA+oCUJrhWXryEP/Ubcj/Moq3jcGTKHRuJ9m
xJVqejA7vFrN4kmIA2K+kg6kmNWb+3ROjozcvUIGwtMzFalkkHLKqk+DylghTvKzA4q+aEZ/CGae
YNVPuzBfQynzyiR3QEEmoLyz4FzhXcfhsNNKi1DDcLqL6CFXuF5oOUE06HoHqN/utuBaEWb05YsV
1udGzW9q4l+bburoqA6Dib1tMHXQyw4nIv1tIWmzA9zVQ9NfVRY1Eh7EvmmMd4fGFsYgemrT2IaV
cbLH/wBd/vpx+1/POB3Fj0/bCMh3ENhjzsmpuA6vlE19rB/Beu2BmZ0cSs/6ixhXTH/PUNSPf/9+
LUkKP/QS3x911r1sygVhQMsf7odHnfxXh3QOQzlXHjzPk1hXG7pv7ag82RsoNw8XZX16GnwgTsML
/5NdyZO6OsSb4EqHb/M//jQ/Nzbf/jA6+CamdhZt1K/oJKmOLA+0JLqK1GssUGAUnpph9/ff8c9n
1h+/xi8wv7nJeyWKCKss6/ewAYx28/ef/0+/B5tlos3ckWncL7/NfLJmths1xVu5rkGsNSZ3zm8n
1L/j5MUy8tft+/kFT8GfbJz5oO+N+9eNM9IPihLtOxurHybJbJwFXj0mLewIUYX8t3GHGwTbiT4f
UcZ/9tTfJ8n2b4udxaCjpwIZNMP/pHFnffzT64b2A3WJi/hNoE5xNT7hz6+bw2wAVoA6X/Q8eqx1
8vAySgs2WVC72kwOX21tNQzyplQoKu4jAmFWVj0q9Ny17hPHOOtlt8+TxEfsHLSebcN98WNuww9Z
6Wp+KdSbUCEkshvjEFAFyOdXxpY5fnCNkfXRDgZYjmahMpHK7GTXdtyqc0KpblQWV7iUrbsxXc5W
0CuuiT1+KnSvimYoeFN5L6XyiLr5QS/NfqUKNjtqM+4tRV6i2DlouENgeXxpIAKZaTGuwkS9rRJx
7TrKoxjawos61sRBt9zSmGf2QfEhG1KFIqFtiMQLPdFQ3UwxXbpGe6mzZPLMQQevVUZv9ZjPXqfS
criT44dqBwugJEYytS07qLCuy/04lcqaFd9R6+2LnhIapkXHubfXqhbZrCgjehoxHJuheopU97PC
fJLeV78heNTvTBTo8cw2L5kfumbcDL1WXWnB6OdV+SFUjdIQ37pAsOnx81MV5nstl49p2x+VcvhQ
G1N6qiLtNcsK8gDBoa8UJe1Wepbu6lZhnhhZa/zhwgsEFcXk2L0IWcn1zDRhPXQjEn5yQ7vFRVkm
NMk5lGffSdN5XZAKxarA/hLJ8FDobKW7AGclcKV14Yi9a+m7vm8uQYYoTucucEYYWVfw/6w+33Ym
NpMV/IW93jXrtjXP3YS6UC+FWEMH3xhq8JqiJk+zCYBPPwGJnl5Ci+QVPifxdUus8WJ/idgvRrry
ojYYu5oB2I6W0gygK0AgyTiTH6zvqGB8RB9Zp2zUcXAUzV1E1OGV6HL2hCJkGmC7iTc3/Q78LgN3
KzP8bLA9J8+1LXfrbpPx/F/1DI5sxdgrdfvIQG2n9uJxHDptHUat6nWt0Kg9IjlVBeLO0CUZPTJR
IAcDDKJiAjuBuWkJctbUq2rSxQ2GI3sXpwN4+Yr7SnjIU7j0Uy1eKEMmG2kZX2wdlJtrGhvp5Ju+
a0eaXqIRzLF4lW25EUP8qQzxyrpYLMKI32eSyexigH5nkL794VD7k9HbLxVkif/jtGFfoiM5W6aG
P58RlT5hjVVc7ZLlD6nxBqfyf17c/+RLuK6NCE7ljIQ38kuRklU4tUlsEdrXvvbptazuC/f09bv4
t0YZ/LD+ukbdvRTdy/+tm37+Y6FaPvL3QqUtKifkT9QDwtOX8KnfpVGopghTX6avtDwWasPfJ8z2
bwJ1IrIRGwQhOsIfVp4WXnnVZBzMwNDA3f6PJswkZv1aqL4a2ylGqKyXCKxfCpVLQ26FjlNdiiku
N5q0ICwKlmDZVDzFje4ALWuWdFbO8Sy10dSa3b42tY+hVOFd5Pl4GDNOiTyCotSp/S4sQ9/k58F2
DxRLWfSk94AJT+zkdQzwKGsDJsChYKeUdUPh27nJzbeS7nVU5w9m4zSreiTPFaPPSabyIQwRCanx
U5Do93keFxdyX5U1ocQj9BybaCbIroc8i54CA7R/irLDSfERTL14x0HKuE4o431Ruzv0ZsekIixQ
ncg/bickVKx5yyrbZ0p9NWBxDAlmMdUWOKs5nXJ7OdRQEjSyJIEHglvY6WTMudE6CNsvkkUiW6Nw
wNcmm7UeB9swru/YIG2iyUDaZDCdbpp4P2T2s7aUJcx0V0O4cPbncB9M9Ddg0HdRGWvelPYR0UPL
bnW+DYBn7ExF40fTx8MxiynJuRleuVV8wP5I/ESW+XOnvCVJ5q7iuiYEoIy34zzGpGRiiFcGLHQa
mKfFcLbpM+daDwscYZyrXARQnXf6bVLZrC/fhFN+4PH2kW5OfKqFdqK1L1EP1bgNsGsZdkd8LowZ
fZGioJtHZTqwv80MJjmy3Tmle4vttbyuc+1cT8nkq7VW+bFZtp7gGd7OQtwbMwbKdHA9RzEfkHG6
h3pIdqnNyMaqgyu1rYa1E6Qb1hDHtuyux6D0ugwQ/FhsyolUZZg2T67RGttiEu46WIyZboYJJrbP
spafRJlvjAJfzyirfa4Pt0OroMKZx3e+8uRPevaOIEu7sN0maUiT1wxs2TWn0dntleCE+OYVXhzT
rUYT+zgsrOdIyW2/thkX+rIglVedN2YKK6mBlnMVDop9qMKyvSHfGGW5LcMOzVKFgNy0nDenckYa
T31FDiqWPJIqIR9Lk1GeHjSfXbjHa0MSTowu2K9Jhqj6dNeMOHF7kx+xQyabkkfzg16VSN2FHBlD
2XcUy2Onyfclr9LTUvM2I+DxaIESY1J+tdgbNDcpfMJWCSVuo7dkrtx9V9pv08IP05255X7ltrgL
25sORy4v4jnARuHZzVgdWB2wGLeVFTFMfljO+GNDp1+RZsZHTAMIojGUm0QLPrIK8F8jMbvlnXoZ
or5cWz1auWDOjrUoVH9WrZoQxtlToMhASTqMiWg96EyfE/hg0LO67hThez3rY2O+k1GW3pcqxTob
HKksjC5cbf9Wp68L0GWW9dfVaemgqvLPIoeXj/temzQ4KYsUh9qEjB6Q8g+1Cfk84IFvzRVOwB9L
E3p2DVaqg0Lm64bz9+Wn/ZvmACdjVwmNxRbWPypNXyEHP4wsKHIUQAaDFCadTSz3l5/vR0mjpMKe
RXTJVTRq50hAzZg0NXJgDxVFeF0qo3mY+9p6tiJjpMVXCoSZsMegUc92++hGRnnnurE5L+qAEXxQ
YXdPrU5UcL/gKn0rSpAFxsrjJLgaTyGPfiZEuhaTde04xbYnYrsfsKRl8mUM5xcRETfOuMxqHXJu
LHUrsjzmeo8ETkstfxqgASjNgVkVbp4W0SPrHaQ3qnxJ64bhGoq8FauPBbIEVEQyxF+TCLXgkaYF
kUcCSu/ujbBpVsOINTq3bo3BvM3BuHupzqw9mK5mpwk9d6BrKuq7ShfPkYNasSTmZ1MUSQ9kbwYt
G7vEtw0lp7Rh3iaWfSIt+ZPIMRNZRXbC9Hzso7Rf1YGA0tfaHDVNiKBzrJx1Nae3Q109kL1YnfWG
1x9Cp0b4DLraBmQAxMNFipmheu101oNTEWYnzla8BdUn2GbDutWA7vdq8z63jaQkL5Edbb/LYN+r
br7TUhQdtp1syJJZY9Um2lYIgo0RIkcJPwPyO8Z1ODjmLi74O4OE9VXhlo9FlL7ZLngHA2N+lX3R
0ujeKkGZdl1inKCj7pGM3sTVAtgxbcp0XgarEKdRyOafDse4jSzr3mjwFTFZfLPK4og86raSDosr
FahnUdjgFYcyobBPxyLW1p06otkti20WK+yjjB4qJ0l4aEgfE6tlT2CN8UabYt+qujtYkUCiR3rU
SHU2Rm0PV/3CPrRl63SIc/ddahF6n5sTeSv9zTzQaZl6dFXg74bjBbozkf1DI5PXYBiZCEZNvzIN
dQMG6ImL5SebvCxBu0weNkuH5Y+hDreKdDZ1MF+yFIptLDZucM3DWl5BCjtlbno9S+s5ttx8U2Cc
3jRTjE/dTbu9WklEMTx2mpmcSlHSmjX8wRXnSbEjIg5MbhMauaZrpVmM9emVWeUXYLNHeB3XQ+vU
pCCgZw5tY6Po9TOMG2Cv4iEn1ZC4YArkYF1kDB8TXetRcVliDTWjjaC9R/j7Ct3z3Fj9uwjye6RO
ey7Jp2QAs69CsCQZ0SXnp+T3ECT5W6aNvGJziFtmytB/FtaFb95adWP0qW4Q4GtqfhGBds3gdlO7
6auikIpMJsbKjpCJ5np+vdhnT4XOUCTviqfIYlhHUydWilpkRwXL89pcWG4B9oW1necvYxAQaCWz
G60NPmXAS9c6Q3i2AcbOdeZTVnTnXuM63BMMZuUvzDqgB/JFR3GTEB+WBXDkwKG1XGIMePp6hYsP
+si5Z/IErs8pNjItPEMQ7spBu5JmdEATqB9j5HY3LciG9jAN2rKiLIBZCp0kDrdmZ5w4T33OVS4s
c1LCa/Z1mzpTuy1LRHZSRVl61WSI60kaByaT2lXEi7Xmd27iFKZvNoeGX05nT09zja4LvVd2TIzE
3Hb8CPwxU7Kdhlx5hcnSJtWT8C91NVhdtOsUEpcIbeJLy0rVNkoSpP+W6W8GXUFT9zdl+r358v72
xwZy+ajvRRojG1dl5h//7RJ/byC134RB7YZMiE/mawrgd4kSuiYKqr2YxplDfp2Pfp90Wr9hXtVt
CqvO27qY5v6BRIkowD80kDjsBFp/RhiCevJLldYVMQLiSNOLphpdc4DfXJFjN+SGAjoqtRmsfSVA
9nVS32h26vWogRjO76b9Xg2IPwY9G7FnSkBJRgtTsgIuCTGgOaoTvKtPARZxnlpkfhL50hrQ2oVJ
VOKZCWnIlTDZDeJ3A599mZRsWLm2eCFZE5Zpkx4rdb4uLPJG7KB5BHK7haMwb3pnepzV8c2iCSLk
gE+gz9UunExmgQ4hcq17gy+dBrcRfp7kHDUaHNdq7FJSa/JrotkoA6pEyTBpF3SMNwTyLCxUJOeh
RbDt1Di7wULXn6fjLrDEZ6NCbzCWsidIjFFqWdaDzwgq2VV6ji4GgQ/HXWD5eR196tO68woTUnWI
LRkII++bvrx5/deXcFzeR4ZtvJr119cUzyq6p+XdjSKVyIvlfW6XNxu7U3hrL2+7tbz35XICYLcz
L/FyKoQa54PkoKiXEwNuGs7g5RSxapZqMFTaTfT1kBmW80Zw8ATLCVQsZxFeEnbUy/nEhJGjKllO
rWA5v5yqoQHJXdmG/BmKOj4YtmJpezdFNr0RcMbBiKTaq1brhofcdmXXSXKOhh4FJybrjnllhPli
4VpsVDO/MTAhkHEiiZxFKvyelf1T3aanUlVDD1byNutS4k1M89y4yrlFlAOoKfbMKrudouJQieaz
UNJTMiKuqkV+r8O99mFGfzGqGuK1fUX+Wt/hIbLTazORsfAxMekYaswomc94S4uVSsZhWuFY1I0h
2Kcy2vc5OFqINgWaL+H4+Rx+macRgyOJZYBrSAMvl0pqugWNXmN+AdDfLGU8BXjatZ4eTX6vdWRe
M9qYusnDNGl6TJETcFQYSrCFXWEsB4SsmuUOoxoxQZgZp5j/EsfOKtJc35YVrE4Vt3RmQhZ0ZmOA
cBMPnjqpV7Y5slRtIFDLCn2QqnZHi/CQNfNh4cdZq6zUXDxbkwatTpZ3YJvilSsxQgdFa9MBovyL
F2uWarir1rbf8yB8y0ouqrxd6y6RCDOU5Lo3mfrLQfgacmAwnTL3S61JUJCP7sbh0Vc1A2KL2nQ4
3cyOC4tCYzmyAbbL9FC0XXn/b5v3tc1bsi3+un7cldysX/5YP5aP+r1+LN7Mv9yUmVQBfBesxLBl
/NDlOUwZqS2uYWsGM+rlE36vH85vIBmwYTD0Zp6Jb/Of1A/DWfaw/3VJM8vkUbJxiDog63QUJr8o
P9ICNksKCfoidLOJ4IXPzNNQSXxpEg5MA72nmgfpTglImE809zHo8FwFDc4FPNyvXZ7d2fnoYmYW
Xt91aHaq+LVX1H071KdUScJ1Q9ol060BzR8QrlTXnnnqOaFgzxzzut5jDiPNPb7onbLPI/fcoiTV
mtZlb5XU60Eiz0aHuyvixJ9HTF6ksHajVa5LZb5O0WmuQbvdCr377DJEWbMQu4FOoK1KxApKFDcg
09mnYw/ZhIF1BBSXxfJ5DBeijpnctg0rngY4mZabx1wlHyJBeC8hLp/VymDdRsw8L9NxNiuGlP3R
aYO3ykXpI6xnEkXSG8hm8MmK4DxCOKL9Uz4zWvFbR2gvjC4X94bj0Yg9Qvx8C21EFGOl1wSEZA+T
rbwRYcQ3gq9gWe7ILCSVi+8hUNMz4U8vbVK2myGgtxglFORI1Oa2oNEKSO6iI8wfZBVc2n58BhmD
gNXGRujU285AOebmOaYRR9s4FIM6wHkrON4WuWk/aupazi4tlLvpRxO2TLRVO4fG0UluCgjp66EA
Vt3OpxEPh09H9SmOTEjeok4wekAKavEgpmn3yZzHI06aZkWI+UfpNGf2tOEpSpmWkhrhFR3J6y1H
vNaJXRtw7W/r8F5kDe1PFK/B8buH0eLuK6zorQjtuzCQW9SuEx6y/MAOT1v1uvI+4R+b8ZFZ+Mn4
/3bFYjAzBsdhCYvpLEq6a4jO2NDwo1knwlbgs9m5Z/E+eaTYRp6Ngy3X6l2Co80a6oi0B0xu/Idn
ra/9qgRjoS5GuAFHHCTWbYJDzpDaFsI1/iDHPH7NV+jK0qBHzW/6xWBHIdwYi+UOQrQvIyYQDFGc
dYovD3waqtTFqifw7Am8eymtUeYucRN4E4x0PCSLzS9q5FWD70/F/9cx1l/BcbPlFzLymifyE3Qv
Cl00OTTK9q1Y0mrRdja5cqNWbn1Lsmeebel9N52uwigBJ9CL4CMNp/fAJJAw4l5VqLV9sIvpEXL7
a5ci46tKyB6hu1Wi9EZj9O7QDq+xqdC42Mxo7AEVn0oYn9ldaUie+eYqBrGMJvUp2ZXdZPhMYEa8
FDYjHWL41sh/vK6cNrolXyjIXg3BzgkcX3XlA79otJ8JcMdYORV1tI1SZc8kASU5K8Yk81wl2KHS
Q8VLWO/kQEI3ZqJZuietbmhnJXtqwI8DUkLQMsnJjtngdikq58nejq61yqucX8hjB61ATj33ypHl
c7+PFSL6UnTIEt1wFLuf2OKnbAOi01ARnzjXsbuZcovtcVrs3Fq90jv3SzvCPSEDT04A8lMDTHwl
zziJ9mOz6G/IzkFZNfK7XVI3+l3fNl/6Zrgwy/baxLhX4xBim2ygzNoYRM3CN1LeQtWhT5w0d4O9
5M7sg/eascXKHfJ954bOurWHnRba01qpzZ1Bpxyo83CMEDUmMWsZB0FYZPTn0S6O3J7hMJIQb4TO
54zVdwcVlkUB+xF169r9dWwNT6qo9oExbYAF2j6SSs6/qVBWlVXe6r3breO5uRgqWvEw2RHKvFz1
rwJrhpq13NC6JRLnANiTW6i5YA2lN89iY1mNryvanpjpAVpwMXMK68Dau6NazEuoIABBhsd1pb5m
QStWneif9Zgby4jlgdFCeE2g16oKwxttdk6uIwl9nJV4YyEAVtEzY+riOlWFiU+kgIuI2oSDEU3X
eqZs0kxeC9f5IPZ3U+To9K3Ob3F2bxBaIo0FHSO76rqznYcp7sk+NE3CG3MT5mAisk8pueleWA0f
CeqBaFIfs77Yk21zilxidUEV3vaz8ETcfJih9PtFiIAyGQzn/JBqYmnY00dOYL8lgadRgpK4JtQM
VvM01dNxXGQObZ/bbAgcxlLRUaCEiCbzEqKMwKHMMY5WIqjZDKy0oJbGzmrb9JHM45ElglLQx8+I
KxxUFpkK7MbExwA6ZPYmVBjGVznGUE5ey8jJneeLtkg2uC6EXoiKY1rkHIFef9jdkK5Zlp9xgnFc
ygnxRxk/lahBEKPcGos8ZCiN1YRexHQEK0L3QMtyaa1pPy/CksbWmO+hNZnQnBC3cJ/F4EvHRY2S
xWxE5HgZFqGKMTt38yJdyRYRS7PIWcxF2GJ8lbh8VbvkX5UvP9yn/mRH/8f2Fg4MUiHURMy2cbP/
sh9ta2RDkhTXi3aXrz7RI17Xa5qctftyfwsh6hD75brbxSdzO3rRDnEzvv0dXc03rcC/W3bjb/cY
37bsq5fm9aX5s3vuz8sMfj24tQzuk7D4uEf+PidRf2O7rrJ/504LZp4r6Pc5ifkb+EHGJ2znnf8Y
wL7fcyGcWVhLHCA+xje+/D+Yk/ysRmSX4TLDYV/CWgSRs6X/csvVI00ZO5kbV1H+PLdX0/T5759T
4+s25L/36OUr2AIbG8o1qPdcfZd79g8Czz5ojS4wp/6qn01fiOpDVsZVFuBpbboPlptY8ZvYyw2M
srz9e4FSuKkTv7eJkbAUq9yWo74t7GantOp90kcbo63eFExcuDhOvYmfssU4v5qj7KIN5Mie9KGr
ocfmbTmuJsJlQn6ITFJxEG/0Us5sClRzz3sffIwmGz+EcBbtbmx7hhFnbxikgIhgPPWNFrRZo4bK
pyQDVuymxpc+wjfTcXavjTSqj4BKOPw052JXtuJnTvPJbULdR/zHAtUwRla6I/tpUXYbDWr0SjYF
2cjxcyrECVU349P8/7N3Hst1I8G2/ZUXd44O2AIwuBMAxxtS9OQEQUoUvPf4+regbnVLlERFx532
WEEdV6jKytx77ek40ILepnmxzfN29mq/uvGNdEPhjyYZzAQkuSdJHgwHzuLnLJEu2pFSoclmGka6
xTbeXpsx+RVyudPI2sUivc3Lbt9CY4YTM30YE6woM6CMYK49GO176pZnX2FW0rJLoff3uiR6bhs/
416tc0RbW+hnF9LMn+dsHcxImySgEWxus8o46nllIMToTyktF8HWW5fAaiam/YVO6RzN7Rag/GXt
o+BqZmIDI1KEOEOhXMZ7XdJvMEgljjoDzNBm/TrS8sINmzFcdVa0m2DfOkYM6NaPxQaWMeiEJfZY
BzQj1y6/BSbyvO3XITibkfuYrff3eqGRmmWcRQOqtp0vkoiJSubnNG+yjan3JxAOu2IadgF27pDQ
FTpBA5Pd4YiL7Voo5KK2cXqP5fVO8U0k9d26qMXemo21NNZPQm9LBx/tRtKax4IPr07ZuJGm+VPC
pG5ioFP7iEqS8VjiX2EGg3OJSTr/qcWhr5vMeoT5xFOwjqP4MfCXNg2ix7XUdSyb6vNUxFtrSRTU
yqeulh8lSb5uTFpeiR97KDBd2Uhf5sT/kGRIO5DgHZO4TgidI/JEl8ybcLbdiugpN4iCmCtp9mIr
dGckMgRWFvhocBTgtqNIMPwumX4b4jq29YeubDCiqLRuuOXy9MTDtazEB6kj5Eet0MobFUZGSTGu
RouBYTdBru2JB6e9pDUrO0WHqILS4h4jzkGrCsQV4k4GcAWk27deahujfcgBVjh9KTBnZHWPdDKb
JB/TY9RH57GOxLFC606523UAqUtuxFKSoCMpQk8PUYykXJdX7YwPPm994qPpFxCG0smHUhiLeYqa
qqoPbTtelHrZ7PIOEjk2SEYvatVs0TbFqyDqjkIJyMJJSkxCs7Hxx9lezeNyh9LTclWgO6AjGqUX
ZiqnDE+khhEYn9j3y4/GPN3VvvZsJtWW/e0UhwoHrMJQaUqlo5+oMtoAxXASYYyMh4rsGl0q7BeF
xMP7Lsmvhp5GIa1rPEIMEFWqiliHFqR0QFTyg1mZbIik8Sjm8CHvoI6X3JfYo/YBBOqU3I2Y/ls5
t0dUtJvQCE9yKt8nTGw1APeD7adIT5InPfYNp4lad7C4yCstlipfj8yXcpBUSspqiaBEvXqTKBmy
0kjbaNi96Swg9QmtOQE8H9Wn2UrOmlpuE7KmFapxN20ah5jx3JkHwAWKuVOZTq8CTdS7dOpvhVTe
AJ90uSN2KcUYBsgJqg3gcHKcB1kUT/nCGR8jCbsGkMepq1GY0hP06hLZX6Gh13CnhEK/j8N+k+vZ
tGHrRy9V8Qpql97kmRZ5WGfsfTfV8T6NA6AMhkAspFm7LsE3qxfmDZgdegd6vDR4VaDek+7DIUiq
G+FPN1ZuzEu2NTGEHR0Dg7m5Yw7jup1gT5UyEUZ4aQtm6wDx697oHuootdajNUVEwEVDyKkUtlu9
z/mJB5AbDCO5PBWPoi93OSPW0aQ8booLeTL3STXdyiA5ejIx6LGEt12q3lhdZWNDHftdIcW1V/jp
5JZdPDilLD9yvyQWcdSrh06QEFoWdMKTkIVuRh2CYl97UEe7vfZVY1xbHUPpmEyU1fvH81Il/nM4
fzEjgDqm1EDQZ2PBQGnx7eGsZpnQrCDOz+0yuhixfIjhw1A3v7EULljDn7wOsnhjcXr8WAS05pwl
QZifM5yQjVBv2ZUukd0+sV3WzjDZ/ABTuu3HEglusm3UkLBIlQl8fmCnOho+nQNm7KHfXYlKXmkh
Qgkb2FDgvyIZp+/PI0AlfhZyQLn2d+PyJ4X2T985NEb6jajvxVulqpF1RdTaSX4esHkH040c03Aq
/tSq/tKCY//ggllajZq9MGj4jljo3/8OTZcQoZAAaCrRGOMz03dawcYg+0DJ474n4kbqHwAqFR9y
rKuTLe8Ga9CdYirZqDRop3EGpXruPgBCs69zTqWuIAFLJs1BL3CFGTAOHaMIzhFAsdGnUTSoPDci
Q/c9LfI+ACPPCdmUShpEmxmQBO5SDOeIt7FCaR+lWl3jbCedV6sE/QhbcYtK28QhZBWOIkqbUOBY
VV+Brj2P5oKBREM+mulpQmbnmOYkbWVliE9yWEJ2GoG+BApKu9COTU+Jgju/U7KbajA4P5TgaGSl
sca73G6Fgier4IhTaNNNsZmsSlm9wKSJCXgeA/b79OjLz52+7gieYV98tCRQLuagbKdYpyNQh6u8
zDE0itrRyPWZdUqPkcfMI8Kg8EYp29YtzshMGfcoF56TSA0/TnCpkIxlnpmGJ7WYkSk21RrHJS5O
dbzKhEgxnCsOTsnxAOPtT57jL5eD8tP1sMhrWQ6wAREufb8efE0qMEjTboKg86zZTebNZZ+eBZJ0
h/30KWiMZJHUuYogzjNKibLV0hPfCjL0EEsxYp5Ti9xwmNWTUVgPmp6H6yYzqnWHgX6XGRglA/If
aIX2dKUKPduqHOoegbWVZ9US9QgbkZwVuRsZ1TXzntFVwgbRzdA1TlsuwWoks2bzx7oQzzbyXrdX
CtOtM/VWqBO1M10qjWQSUTQVnW4JHMIgHmJL7AZf/STMcQlzYBuARCfy8ca36WMBvqsK7VrgcJwZ
uHaTem30/SmJw+sqQm9kwjSa2gdMCTrh0uA1RdVRCzK1pNeLWNNAt6hhcJd9MkcVIT1LrAm3tLVH
RZMelLCvvKqdtVVoyut+RjkjjQWRFvVGluOdTYAhOn2M3b2nJ9j4LGs4mLghBqVvOOYXqk97ow3l
2bbGXVNMz9oA2Uyrn3NTrIyJ94kxPemTi4JQFzMX64G+aGhGsRuBWlLt6ENSSslusuZV0Uwrkfpe
VlLQIHPmXsLD2Ev2B7zrn+nW+6hzFs5TvG5bUhbANnsqiaGKIo6igQah4dax4PquGEm6NNiJNejC
o6SQxKwMsCGA0EjRpRHqxCBjHkikQ8YpjjVlaykpVGIEGkRCo+kiYFjh1Ez9Yd1yvOc1zaROqmIv
TaRNTADFTIvQtIkwGZRgcBuZTXemzxIriMIG65I0w22Q47cfqmNuGVS9bSpdpOWA0SE193owHHBK
VMyRCWHWSrRLg0wwSTmcpIZbQgoOUWNG15m56w+XwliZQB0G60x/U8AS1Le+2d+XsoR7Xz4JA+/4
6OtHzPfYAX3fP3Rqb7oNum7CxnCBD/3sldQN22JiqDkJc4tVhHkuLVpm7bDi/Vr5zdH2s537mydV
eyMzUEN7iu0y6c6Cc79vToTkuiNiZH+4SOqTwo3l/fOIAdf3Jyknxbev9+Y6rYZhzu2CnaEoXhXz
Uz9eEeeWBw+Qpd5/oYUW88MroZvQcWUCH9ON5WT85uI+NG1fxXKPtk+ZghUpNM2SZ3pjNEGxCwuJ
NTf2h7KMZId0EOVkLehMERPoNi9xiQP/L5I76TMAtQ+YuCx8S92dFBUXhWxep5Rv3HoI7FGXRMWR
mUiwztroKSfOQQrT8iroyIg0whAZkdEdDKZRFBarSZGR3vn+hjmAeW+r9nU5px6dlH2ntbtIUw9z
MO2M0r4YkuBQc2ybUnJI1JyHScLJChiwVO6zsmbm7O+GEpBDSlgR7qvnWZ4MNx2Cx2q063s1WOYU
jRb85lv9vt/yxTmB++6fL/WNtwYpNCgO3xrP1vgUzi+TtX//V/vd///m4JCllBoZa/c5sq7L2HYq
7fb9F/ihHmL9ffMBxJv1l4kskRM1mM6Gegn0CzfdSg4n9/0X+V678/VbwntCSaoY0LC/X3qj2Qxk
cvMpbNVV24/tkFGT3Eaj+ZtfQ/1+jX9pfwExIl1wcfgT+/PmhaY4QkQ+l+qZMuYjh5p3k659T1r1
TuTeO7lzvxNuf3y5itzwblw9p6vphSe62Wq79z/wl2nyd4X494/1lzf6zcNmw+Iv7YBtpF0jmHDl
1XjdbWBVru0VqXj1WtnwPa8Vt3ZkJ1wxmOpX+jn/+P67MJZu39t38c2P+xa5xJwitXDUTOeHcaeu
8B6s7UvTuWh0J/Q294Z7FF62sc/hetzCJdjekIW9Gbfse868ASoKZNDBLeJJx26bb5qLEKKJE3h3
hdOdma1ujJ29Kw7kHdxm6+v33/oSuPnuW39TQUtqE6VQVViXDoKXdfNarssbxYOn7/kexNwVoJ19
sbn8eFx1O2RYoxvv4RLu4zMMWNdfAWz65Lt377+rH0EOb56WN6cDgT59bQreVbizndCdt8CfbnKE
vaitHOHg3XAnJ91Y52qrPtFIW73/+j9/WP95jt7sNmw10tSU03iW52JlDsNhlhKi5Alqe/91ll3l
x3Xzz+u82XWsyNL6fk6nMzU1GvGP8rgd4DJqACIY35br91/t5z/136/2tqMsZWz+RhV359BEfedf
lcGH/9sLoHr89uTTRisVgrjec2Ic1Jg+oG1677/Cb34Yc3kQv3ncpay0chMf2bkgsgv9e6k+zJ31
m1/ld9/Tm82tUZC292bcEsrJr8JMyx5j9//2Od4ssK6Ymy5vsuk89CMwlHOWAFPMLt9/kd+sLnMp
ib75soQfSBPNOU4DeP66jaEobS80rXORsIPTVvGv/ZWJ/Msb2E9/H4MAGWUJrWR8+P1LWkjz0eu0
3VknyT5GnBPS5PtzdPbL1/jpz/PNa7x5aMB6N1IV6uPZiHX69x+y7Dddhd+9wJstcU6ykbDBqj/L
bNo0oxOIFu//Ml/Ox/ce/DfrOIwY+vgp65i7gVO5wb7fMnJ1Zndfu+EquOh+i+h4w8z/sTZYPvU3
q0Gh/4duJuSMeqAxnLOrEv/iVM7wrBznXe9czuCeObqNVeYyp/0gOVftajnVLx+rS23PrT104hWC
wW3uhpvfEUR+epALUEFfS5e3KyeqB1nxeeiUi+Ugl5xmk+q7XHGdZKN797mzl53p8Fl+4XJW304H
vO2/2b0WUfa7u/Gb3x25jggre6KW8HoPYezsqMKxD6l3ZZ/FEaKs96iufSenY7uuNwQ3u9Jvdujf
vQXzzbkHMlDS86Fsz9KhcEbAQk78CV63Zx6613FbrrKjuQH//zl41Nxxk1wEXvz6/tL8cvF6Z2ma
b9ZJAiZBb3KWJlDTNQlITrRUdbvEvel3aLwx+zrzmeT3ezBkXrYuN+Zl59Retwp3gxM+/Y6yoy2F
8Q/v55/H/a0e3ZJsZkM5W0q10jdiIwAgr+f1fIwOivMR6+0ayeyu3NLUO46uebuyqA7yVbtJ1teR
txQJfxUH/43ul2fy7xav94wd/s9I4/Nz9vq//3MCZ/bxR2nq8kdfpan4D0kRRkBDLUz3bSmT/x7Z
k2UMC1xbZtp/hfT8NbIn5RhbPDP+P53xiyDjr4k9/4JGA0wbJwm0cJml8W8m9t8vJO4sSAUs4pcV
Mv1k4rXeVCdVUemtFcbhZQXQmXTeZMBTbZgXihqFzPMCyZdm1OHFQMeTfEjZBuNp6j4z7rFFwyZn
Sns9MBSzPw9Ws62lXPOfARfG3NnJ3ZIORNqT3qOE8aSsArBQwSVqmQh+d6WHeKIVOqAQmmZjTpmr
NLYPydDMTaZX/YSR1kVxj5iJdn6HOZ3RfhVuTZqG+OpjYxHMAQTdVkFtx6SDNPgTqiGtLwJ9Sano
tGkwV4ElF8JJLOHJc9tJrwbQiz+P3v+Wvk4R8eulf90+51FDGkrz4/pf/vLr+l8yquA+sPpJthNA
ub5f//wTEmx8PwoBVv9IVhb9NbMLG8IgI80v//RVsoIBl/UPUVAjkO9fG3C15QD7ZyvlCbBkS+Yt
wOODmEQD6fsSQCIVNalx4Vx0KI3nU6yWUIIVXY4J8kV4fYkism/dLDWwB1aX3WKtWDwWNWaLXoGh
ninZsVLrRxyJ+7TJryLsGe3i09Bi/2Rh3EDvlbg5Vo5A6wOvxtwRysP9TMywHcFELAhTHtxEFB8M
LCFKBpE9ZEbQ0Xr3cGMC3WnjE0uXYbnFwFPrc+VFxao2QkVN1wg+LCyFplZHe/J1W2JgFIn5pQzL
Hu5OqcVcDPFdIn9hzmhGZrapTHsvUqanNxp52rg6siHukI8EoX6s46h5jAc/9zqOPBWzEG4epLzx
wYRDDBPZNpphxVMHqb2xahAHudnPq6oO5GqVEU8UgN8bXzrBEz6QRG2WiAWh+2+s3qY6iMRz6Re+
Zw7V+CG20mEN0PwU+XLlqk1LKHIYraoZnmdoa6vC729V2b+T6nnXmtJVT2pv3g87BBFeL7XHcTAu
7F4AzS+FW6fq1dREz6VUQL9ETFu03YlOMEEoUgn9l1l4bStXfSfthKKucr86W0H5WdVwBEvDVola
VNLZNvCrY2AzWVTHc1fUL/LUXJFotlVjcZvYPYJZc+srwYUI6eNXaXmdljMbFn5IQj8Go7mqW4sx
7LCLhX6fmcKRbevZthomzkPnWpmmrmL7c64UKz0VZ23oVkNhbQgEJxCnOflRc4lx9bFuZvTUFjkg
yorx23kusguLdABma+e8gfo/qvczJPye0CE9y8/8lm4ZD2s7DM+xX5wbzT7MmgH6p92jv98gjHiC
kbi2ovZUau1LUKBmWH76wCRZuFaID1c2lhiPTCdap7Plc6eG3lTF51qoHyoADe0s3Rqhtkvj5Rdm
1MUev2vo23NbJ8GweoVdgaI9vUd8f1vI4VUbSmu/NI6abkFRys5y3KfYx5TjoI8vPW/CtXMM37ly
9HuygUyaUWF7DEwEmxG6zzHcFQ34FGuqX2tTpS09XtUT3FM/6I0PplFvIjGEZ+Hrp8lQs4s6ZeqC
crdC06MWGtHMPd+XMVYXsjCOg8KS6mx9l4LNcCsxlF7Z2J+mgF7GSGx5pqF7Dj6MVSu8EXNrn6am
x1jkCS8Qy08TkGb9DR6ECSOw/zTX6Wmwx3BtZd1NMvgodzW0+nrbMPSZI2zyhDVRMJquFKIoK3sp
X6mhcvJ1/UqvMUtIoCVAKvOLE4V0GZfSptEzunBxsS3Rb7tSg3McSfOpjbtNgiXaQKUlo/JfsTr4
tVQmPXbXXJJINLm5DiJbQ78UTs1hseozbDtq1RK7s9gSq3OpwlAdquxjqWf8GLPkLYHEXuyTJBW1
4oORWruijTWvLnDZ54sjz5/HlvDpzi1kaCRqiAM5jsojypYOtLjkZmrx0Jo6Q1Q1610pm8+dop3G
JPokNPwLkqVu/RKhw7jEdeRxfyVy9a61xV5CN2pJXbpOp7wEeTOcKHInp9fZATKJuZhdkvmlVn7n
DLjc13E3HQsgNo7Qogvgs7e96IjrDcebQBisd4R7uQRe2UpAhvHVIMxDCwbCFvl37pIWYiNCk4bj
zETzEBooob8cef+d/cuN49dn/1XUv9ZN9Ilr1J/V8O7T//7Pn17g5Q+/Hv1L6C5gCw7Xr86rr5Xv
EkmAoRalqI0DDH/VPye/zslvI7sRCEh0uBic119PfsSq0DQJm6SPT+H474Jw7O/bMkz1tUX6ClrR
FgKQnaAw//buH6p5b/Sdpp7qoqpK8ygRXkHCl00oboaQTI+TC7tTtcQLhY98Oxo6judpUkzgxVhM
LbpIF10BEmfIRmlnGLl26hKJVEm1yQ+Zb2fXk5YPFwjJymMetcXHNmiHvZoNybWuDFAGitjO3XY0
Xxkx69tCt/w15OmFVlu1xVMoy7IN6MhOPAA2EA3STaIqgzenufECV4FUNi2ar9RGRJ1r42518gmF
hmzZGGpFRcBLrDrGojCJaG1eZlnn36ixHV51xEuF1zIGnIB2gqlU824uQ5L8AGFZ2ugpZh6ovCAC
ho7cLpTGMNynwWJKjYa8/1DXijUwp6tVHSgONoizECXGAiOq4lspnhncVn1imu6oLrYlvB1Thsx/
qp6SrtN2ek+wN8wkwNwzyIhy2ltIADwlN0KPyCzbOHA81M8A0kExZeFUcobKDQD4irPenaJc0zaT
AhQblYhpe6B8rmal6ZEp9ACjCzP+iAIz3JfgjOeTEVftjmFi1F9B3VXWU23ks4ZUTTeHU2azC0n/
3Qb+MvnTfPr1jnB+7Z8/Pf+4Haj81dftYDH5c19VZZg6PG6LDuXrfqBi8icGROC3BL1tAtX5W7xO
gCaQHe6oXFARvCtcEr7uBzb/H44FPPlkdyvoxP7FTRjB+9uLAHNp4kcYiAsgGLyL7/cDqN+lZvjR
dBHll9pktq7qT4i+W/t2nEEWy5NaObaaH605vSJV52UqU8k1pVkBKJlyFEYNOA7cdk1iXxCzUeAm
Fi92mJzSzr5DOnmrDfnnrgvWlSRK4IvmY1pmpWOhYHOVYd7IanZEno6/yu9tVOPaeZDx0ZGkpzuV
SO4ExnvEHQIWtE+9TKvUKVTjAeXwXTDNL5JPcImf2Nuh6m6TqL2sbZ3Bra8ApLGu6aUTfDEGZ79v
9yQ84QOTmoNiccaPkDOzseAzz14MNYx07V1nMSwUto99M1/noXTflREOGJIIVfucgp2fdeItYMn4
KzzVCm6lzoujal1ZZPppCCTYNQDBRxdNogjEQdV0PSN7j3ofzmbZuHM1AoaJtchFnkabIUckZEvG
YzaTESAI5cYNLqd7tKWkMQ1K40kjBZhZxJ419F4KLMKzJ92xBnsmn7C7FlNZrObauKurHgNbENX6
NYathVrWGQXQ0BFf0HyrDMMM+s4yKjIgqlYOV2kM4+U8YtaiwREGKVtaMS8bWHS0BImGzbSR03E7
D71AnQkMnLjGzSjjx/oSfuobyq1u0sjITP21JBI1lZF19e38NCPqdwT+Wwed4W2b509R+oq6e1/p
XBoNvdlNXUcyjBmTHJVvQd1KqzApF71vf7LlInOTSTvAO7ifdLHPSrh1mTE9V4pR3epZcxVk+pUC
IGcohx1NlM0Yx/42MnzNkSJ/i5qLMIlKO0xdoji2VJq7SSL9bM6sO6mvMTxW0nqw1Y0c9RZ6X9ix
/rCbbYRgclFirgtyAExLZVWVm4gDxCF1nvxBnwsbYjopUp267u7mNL1PDfVzofGdYSR+INWcyJTk
Fin7Y5DVl2OYRIQuW9wT54emRskuF+GW2HrTTfVslY/tPutIjEFR+NC3E1zf6rmdohWtgYMdI7yK
ykcRDa3na6DKEzmn81OnN51e3wIu7CHLIeiWTVQZY7sqZ+r+1nyswDgQMCJORLVezSGeQ82/VyZp
3MjT5GZd92RYwRUg4bWp5BeablyMJUdtJWb1GFuQGiqR4zEEOqcF6yT/lCBt63pk9c3gb4qIs89O
dY4aY8IQaEAx4HZhDwCOWrNh8taMLkCM58z3c9eQk9aVGx0mfsBZ2k83YsZFPBYpAWO1eQPh62BV
8uNshafUHj9oKnW7nOSEzNif/EzeZjbuRmFWkPkzFqB/k+K/WPmxSszuEhzXKzcs4wdAgyHbQnFu
I/GhsbVPNsTGVSwNl4UPkiJrlAV4pxIb41OWp4K62MIuA4FyTC+5V10lCfsKhy3xEj3EeuJQYW0J
+2X022euVZe+gl7TNw3fawbZR3tf2as6Ng6l1eiXs2ZhYihCEBmofK7LXPnoT5rqBMl8OxfFUZuD
FyVX9l3aTVsqI2mFw/QcAiCBvB826ykFF8TV5rUozRmzDp0PQrfhGrWV7ZStzTdgm9yYjBSjuY7/
UzEPrarso07ZIeq5qgOMxfKg7cSsn5kWHIqMTxnBkSzbUHaMWdKJO2EsEGZcwk3d++8S8IXLoDLm
+PWRf4LL8JMDn7/5euBT5VuaCogGRxr5uovM4uuBT1ccsyEJlKSHCZne3z8HPkmYgObp+xFM9sat
Zi5uNSIy6CSC/PmXWFiyud+e+Bb0PUHlQMVh4qt7cwNoZgDTndFhOtHy+VhRFzDsK6yw0jlvgh6A
9uwjCnQkvPOpZ7W+WZwmOeMe3kUxyRmtIacnq4tkrvOwVgRWrgbStY7AuoPrsgpIdsqxJg0G6Y0D
l/ngfugyqfRmOdClDJiAZJe7hg5MiV/ZECO2d1OF6SUVwZomhwQ+Nb8HsY3DQte27ULPa5q+5XiS
e4dOAvtSIDVrv8PMlnORyQWJXhkilUm+AgRdO4oyMgPyywOGgENe+UdlGO9QcSxyashxZZltunIH
bc3HrwzSJBJx5CZmS5NnNEGZWBydnT8jyhln+ln2pcKlwEmxkkldg+p2pNNBegBa38zak6P5SV14
L1HXP7SjAVY7SA9ZJBse5PdLbM3TehA9aTEdgY5sFa2rmfPoJS3zK8JJ5tVk1JhxZHVFXNTkEXpU
od/sP0n6eEilCOdQ7YPx9JVPI0mF0ETRs8sVp16VupmSsnmrpUuc8x2ZahlpjcMRLXzn9hEQFzoA
1xKkucrsmFcmbGFSxplV++VOB6bgjHpxjtXiqqoG9rnygMcJozG24h4OnGJWK0xLL/pUggVE1AsP
wOnTxEsBfbp9Gex1P1vVpSUcAsMIVm7HGHxgkaytyZRoGrWnjEIRq3VNlBHRXkoQ3HewDF3SG6ON
NuFOkURwyTwDfw0mcqVq90vv1ank+j7AaIiP3jhw+bxug3ElRiBQ8ahwqsZXQd4fI0PzEpwejhBz
tPKNKcUyiPG/TvzQlUf7EtCOubIq7bVIlWarQNXEkFecDSVvN6EGOU9Lbk1MV1lc4TepLqSwLAms
hAOgpwxXrDRex2l2N5gWbiXinWXtUS5pA5qQmPohvR4TY5cH1eQIP+QcsUhCmtCLsNDVEFknxkzN
nuVtOAz3OQMxL1bb+9Ef7hS9udEbztegnjd5aF+QIErjyaJr076MwFWJvxsGtzOT0qsSzlxLyagv
u2s/BhlcxEpHgl2wCxo92FZtddWJ+TGxgqfKAN04RuTXU0Us1iddcXW5u+0jWdCfI3uuEOFekoo9
zYjnHOCkIwcV+sBCuUbzuKZ+vCkbGZ8eIFnaVHSytGtuD5ZnhSChtVE60y4/RWYpuVqCeSdK73Er
5Bty1p+zYB63yRRsu75GjBFatptLwPAAYRVosPPHOAdnQrea7Klxtg62PFk4FeRNIM/1MRLJOhtM
FqkKUX5h0+BcHdZpM10oiv5ap8TOFzVtPdO8LegA7vGspyuhjK9JZF/FmLVolpHRqaTjhGty+jz0
0CD7nrQvKgDdBboNALNZ4sxMzBx+SvXsw8kU8tLEVKSCBRBNbjUVhqtTrEG7eBZhy/RY5PlqFDaI
v+rEkOEVBjUhC2OK9iBBPGO05nqW5M/1oB+gNW9hyjzmZkA9H1Y7U0OLXY7KQaZCX1uj1HtqJ670
UdV3QYsbhnnIkmgQnxRiz6Y53EwtQwcb2mDtH7I03oVtde2H1Wcsq42XD/VxKvyLxTlWMr90tAmX
oxwG4mCzL7I3Aq/qU21lFt2wiZPiPi8AT5gD3ZQUXr7hE8U9BEwYo364s5sWPFch8UznJf95lDyO
WqvxOI5rehYyQVtc5+xRJQxvCu/V4XWo6WmYBv78fNIPocgex4lvVLG763RoVcLoirsvqeBaQ1qE
bryGRPY6WNRkh8b8Tm6Kj7aq00mWP/cKiwHi401Z84ORn6N5Rto2bBE596nMvOxjKP2ar4CXGiRy
IfszDogrPioZeOHFnOn62tCXKKFeUp05NY8mh7sXWvKuK6i+wY6NO30wrtXSfwhN8sfqNHrNaAHj
7Bu4qQ1zvm2S/hYXxOxipsDoMdaQlJ3/qqQvVZJGY/HXVRLm/v/nRa/BT0ql5Q//LpXEH7KFPmyB
IMKIWrocf5dK5h80JZZMMgMRwZe2yVdjv/YH80sKF+K8yWFZKId/90bUPwxqAo0BKsT7Zbj6b5oj
DFjflEo0SzVM/XRNIA8oQPm/b45EcRw2YdpqJ0LUyK3HFEk30+2EkeyzKBtKWhj9bNaQZOVSHT18
BfN1x6QPm15w1ChrnpOQRI8WWZdcPcVmqiiX3OtLLtQ9tw6n6XP7IivaeR9oXRrtqnZSb6gtJWOn
NHItObYNiCTzNX+fTEJGTg8fUbmOTK5iyPTntPlo54EYTpBkCCkq4fb0YIBfqTLY6/OoS10c7h10
3qUNaH/pCLbV1O50DJu4DOYwmVe+PHVc3E2ucmYVyge1s/1DXVUxG3g+hKtwtPEfVXW7wjwZHYx2
gsnrzyWUK9u3mZRzgmGP9WnmmDr1Q5KH3WWoGs+k4jyZSfCRqWC2QvYB00cYr2WbvQoSQ0kZzyr9
E/l+LrG0rloFwy6fZWPdJlL3NND3cXpVJnp9SIgRtGzi4tqote4ViaBlmwHUxxEwzbbRcnUXSj7e
nUTNtolSm2ez6kCQlGW10RcIVk2QM4AbXCWGVRI1RvADhaePF7kpPdECyxkan0I3O1idjdHPr8HP
G8a8S3ROfVJqcQACU2Iknjl1AMJEm6zYLZBtMgRNvNKyXyEXS0x7522q0AajibuZ/AHdLsJUJ/A5
Dxt9fNBDJCTJMGPmIzy2UOzR6Vpcz2E9nBON2RM5bqNrpwtG2DANLrKleiEHSXItDYZ2lQuRv8ay
Xu+zKsrvOd1rF1jNpxxO/58hXv8NeBYGzK93rfNz+bNmLn/zdcMim4oxDOYT01QBmC+iva8bFv8k
uKcR0qfIJkhzJjhfNyyIe0JnHzGZ+SyJMN80c60/FENf+CTaX3vgv9mwtGWC9L2sg01RU/8/e2ey
3EaSdtlX+a33kRaDx2TW3QvMA0EQnKlNmChRMUd4zMPT93FlqpKSslSdbf+iF7krVZIESADu33Dv
uUKBYWkXf4r8gDaX85Y357OUDRNTE3VB7TOSk/b0YCTVNlBCjsGoVoHsXvUugCCNA1QfxbGxg4xi
U2OHWK10ezrZM8eU3eYbRq7kuYfx2YmzzRR4N3oWso5FxLSuBn2bjv5psOyrMi+3XujvusQ8Jzr4
KM+Z02UdAhMAe3nn2GUHUMx405zi6Bm+JDhChCfXIfNPk2mw8CoyGUzqBYDZWwxoe90esB6a3qMr
rZvGzM6235J8URe4taw+e0ydCRRBygza9i942+/CAcWJTbU62cDfw6zEM9+Kt6EMk9M8d5LYFx5n
svvtrNWAAbuQOayxy7VU34SjUa+CjOOu9WOdKXgo8bKSO2LKAQ4GduMVuJJlnLF/rbLXEB5DO/HU
Zd9su6qOcSMQfToSS7FxddKPB7IfVOHILHaJ23RVi8zYm1N5tPQsPhiafQjIy1h6tY79OHWvhpQc
XH9w7iojdkgwqtlEFxDaQ78WLN0czPJUZOUMm8xubPBqLkLU1CLjvmihtwQfmtC7TzTPhlFm7cQU
vCH6AeslRo5OJ181NpZ5s4T0rgm2bhFu8CrN9fvJo+RxR3ufF8W4EqFkvJrtRmYUy8hWMLUZ82kZ
N8HeGXpYDbpCSSX+Ji6YB8xRPK2rgFLYDtNPtVEUTE4NiKTabN76FUKJ2U5JdvLiLT7qaKW1BrbR
QfdTKN1mfkqdoNg74B52CNYwLWpeugeKtxpdgRSOpcnCMd1k25Z2Vu1qTHPBnTd42sEA6hdqpVwT
LuIfWONBNAf9V4MAbHQm2jpQQKFJ9EtgApuos9e9V6y8viiPBSjBRiEFR2JhBJBBfeyfpaIO0kM+
dopDGDNSYRshn3vFKHSBFXZAC3NFL6zBGM6KZ1iWIRG49okeio+E9tgq8qEAgYiQimcdirMLHLHj
0rVjummMWHAT02bLoOMqU0RFXKAfZhCLvZ4+IKqoCIIJ9qGiMPaKx5gYVcykEeJCHBUE0qanKNSW
o6I4UhOdCrCOrbraBkCPcRA/lNpEjaFhrEqAQVqxfOyBQ2oA44E5wovsAUdqhvbSK5Lk0HonS7El
iQRKL04qPrSyPzZYId25OU7gKGewlKHiUzYlY2JFrMTWus0Uw1K6ztEaIckouqVmRrcgTZBHAL40
3ftUW4vJO0qImL5CYwYKkllAy4x7l3DwNLvAIdToN+sXqbXEF4DYLGBtRnZA3gj0TWvA0guNU9Oc
3dyABiInrSKhDmQn3dYig+Hp+v7exSOMnJLihlddwT57hf1M8/mDr0CgbV4vYdhVNnTQTHFCsWFe
dcO8J2nn1bQlJFHDgIsPW1TGyV2b2a++oo52I/bnomKzpEEkNRSbtMaKvLCiFoIzZ+HCn7Nx2xQA
bK7/6RO+9gni130CUd7xVHY/T1TV9/3r1kUxLGBsgEnnHiV/8d2tazE3RRKMyE6pJpTV4ZuYmKua
vBJbd1A3IvUVSDT+WKEKHZ0xNzQMXKFT1xN6/Dd2qCDyf7x1BbRcELdq2OvwVLjf32sqoLowcaud
8masdXdT9HAshRSI48Wwi9wa59DEFqrTBx3Pja0fdQKhke3GbrrPUOo+x6QnnAgTI5zesqq7pHPE
DtxXcz2kgfwsW0VhytjNRZnLQRUSa4clXxuI5jK08aap8/YMblu8aDoJ9ga0Ew+khZGt5iIortNQ
+p89LbqdxgyCoGFoBxMp53ampXlovcl+Ib+vvhtMuzu1TeTuMeGX1cLtAHsb9lQ+QoRoCQ5szLfS
7rJnpr/FLrQbkill0HzsqXnWxGKwvar9YesmaDy6qJeXgdiirCMQEKqSXPWDIfpzpMF0/FQ2TJGO
BjPDCZBMmXZQhZRKWYS+yo39qmOugqaoz24kqbFDY4zuosTHwv5VBT231uwO155PvhmFiSCWa1Nm
g+eCze5B9qxsM8zio6MVANTpgabXBMBsvjYhWINWGl+cIbM+Tpprl/ALwL+GkWMfps6Z7tqhnD8C
TWYjWJixjimf4ikODX8byD585Z0UL2FTzh+DJprfwG8/14THF2F80FySsXLD6ZeDXcudJgdIOZ7R
TdsUVM4RVMd0lZYjEb2gUEgxy0uNcNwhjGFKtAhVq56tuEyrJ+HGBJf5xoOVovsmRJqRuworsakJ
dk7SOHceAJB9q7GilzpZi7Rn+gptmq8zgbXL+6DR87eGyPlXzR20A0pask/G/EwLqK3qth+3vUZK
GrEQFUD6MYjlF1cr2czKoLh1DK/Z2/rsfAjZN61m300exiAFLZGIBBJ7lbyA+OLimd3pqkkZds3d
qB1581JQuQh/krAOnr05Hx4K0r3XXTnGd4gb5U3Us8cqCAsnjkUIhKRNIwyw+T6HazPazSqska7D
O7YdRC3mGyc5Y1jr4I6DdSG7DlQronbjTZZy3lSx3ix82aiwEDzz/5zFX89ipT35993PGc5G+Pbz
Say+69tJzG6LUZzJT3M98fXg/Ff/Y9DKCBRq6FbQdwvFQfrW/1i/+YKWFr07cnPvB3EbmjcASQ4/
VqX9/i3i+F8NbICeE8urTn4BLpEz//1JXDmcjYOrB+QGGNHamrPUXxpqnqGNlX4s3KZP8Qky7xBJ
dIiD6cULDcxuyKcspaOizx5c8nmyvF9XFuJaXVYS4mtMDcE2rHwMayXH4kJCmlUolZb2VbA1KO2W
yIL4re30oN6YStZlNxRoBbG/BZv/TcTyrFq3WYO0NKtFv6nqBGkoixKfypCZddD56F9iiYs6gRPE
mKL+opGPzraaQbEdB/0iMlmPeyhHHbWO0Czq8KxHnQEphkOiDg9ZZ5zlXNLM6XQ8w8WwZiBQ/g4Y
zpUosz0sjf0YB/PSdmCJzbQhjDF6pKeNiK6kABgotZuEbfatDLxjKyNkGiECG3yWxlXRlPWSzMV0
PTkJix6pJSsmLeexbc5aCgJiCAXGPD7UbL+HdcRq0Gfp3pK0GltT/SW12jsY0Hc02KCh+6wtbrQK
74ElGP1XchNKJ3ouARO7jGQCaIqnXpA5ZJXRF4rpZGlKQiHNEkAgyYH+ZOV3mmMPG+mhe3ABJ61q
alR2DP5OZs6CTAYgbrPrrEyjiM59SOxWLInRstiftaNW3joQIX2CnVhewjXymeZIk7421k4G6YpI
DQla6KR4aCA7s5yPF+C1vA3NbwzwL1+O3VyjOXTlix10ipin0Thya4TNsoG2tn33Ubz53ZnxX0WX
35TQF5v/9T+oft419lg2+cBBK3Jo1pCSMWT4/o2d6NGgA5ZLrk3wTxsrG8yP0cTfaSBv6A8+yj/T
H8GZ9O/PvzuMAW/1z+ef+q5v5x+KPcEpR17B79YdXqZ/zX8wrxGBANlDweBQ5v15/pHFB7BUjbEJ
if26wP9WiVqs/akZEbU6rP+VK+jvVKKIB797mzAWR80H7xDlgYoVQtf3/dukNwuzrTR/OlMvNxtQ
JsW6QdmbYlz2guro6cnIgKW3NdIMgkKehqG703N7a3spgMd6RvAb6fbVWIzVok9Y43eoeKih9WU2
Wc3GNFrGDtDQdiMSqYspMMtB94SNNIWE0yTlsz8byVKz9U9FxWFgRPMlj+GYBkOZAc/EDWGF7pl0
vH5ZlMwTQummy7gcSPX0WK93hHTiaTMvqaVl+z5HX5cH9lqvI3unuSNnoRU0e4MKFf+FU9jLWKa3
WP3ehrS6K6mQZT4Qcqs72j4ZtfEQ+hkY/daXZ70jVMFUUwl+SgCfH/X2QFBXt2rGIlsFg39CtQHr
xcxIC+wvejo/5p188JPqGEfNB10D1SZznuw8mIR2J1fCVjU9M4BZep9nH/DlNKXV0jP74+QyzGGY
VC21jqYxcsaNbwafUopoyrhyE0D+drXqVJjyOYkxfLisLhEs52zn7Ol1js1rg4X+evDkbYw8b6kn
VuXdNJanTVutU8zziMcLKAuXVU3Cm1Gva1lCfxw3OkW4STRMp9Dw9fw2e5Tmttsfi9Guly6JRBRe
eCCKrpFLQQgSQw1QU36I2WIwxZPsshOBROGqEnLdj6a9aqa3AD4X3GElDg3VWP9L54aswVO7WLVi
JltYb5GEZOZNUE8O023ykmQiL1E9f/QqFo9GCw40ykocS6KxF4VT7nuzfUyS8tLpuc4CH4WBWrfP
1Yagc1wdFhGNhnMZh/CpLaS/aPPmGNZthgeKu9lzeLt6jCyRO4VE7kxs2d2sANidNyg/FHgorvxH
GSQ3XJ4VEzjnGAwe2L8KUFJrxx+RI6ixQPnRHS1C1UctXjVaMO+CFuQYeVBA8kKBlcxk6qYbs1yN
IgQF1oZ3buDyniI6dwf68dQG5bjsCuXRGWfCxSsF6RIC4cZwcYyIVbCFB3nMvbXdOFe5Y+7Q5iMw
DP3zWDTNKtMItHIjzGwhFS0QyxYoWMAYJxvPJQL7umzrxTSkn0CjPyW59SonmMiClHfYZW8cUte1
GbKWAPjVD7a+TjyW+vRO/RVZTTeWtD6zG4cmL6OdRSM0JP71aBZ3cZElKCvnlww96KLBoLLx7CTZ
yJButQ3AAJfVhTYxWxBw8JbM8JUnM9jOHRW6mWkOEy2VNhDGd2UUDnyo42zNFPepGMonhPNUKL34
WOvJB0ICmUO34NQkgpxFXGIXKL3HpNaOMGUPnp/rBD3bbMvlISjtBOgi0hVoZCyXtBd2VXSU5VVZ
59licFneUlU8tzNOoDS0/F0vmcs2OdGTA7MssH6+OJtp6Wmryp7jz/+0Bb+3Bb+8Fm+yj5/+6lpU
fKV/XYtK485C33Ec+w9jy7trUXiCWa2DF1Yteb+/FsmvRyNHJNrXuPP31yJB4rDZuczwM9BM/I0B
Debon69F3jIeU3oS0Mic/aEt6KeBwSfmh3M7kmkg2vSp7Kdbt+z7deaHZxJckk9UnsUinqx7NBCo
pS2NYbM7fNEifYNVV6BgAAYZemRGF5m3yF2Sz8GQvdYhU/Ixg7Xcd8UtfpUQ5XkZwNHDB5sjP4mk
+9pZ8Z3Tz08RA2k+P+guTCmWpDGwsHTlwVLLmtxVgg6/2MyZecdjcQrhv6lRO6AZmfg8sMdd4jw5
tan/wLSMIzwNPyeNdxJ1cNHFeI7CZle6qOpQ3F5MnDQbAVRokYj+ZjTdco1qkcPZHIdFrm4PpLno
85dWRRQJ5gXcctLYGRE5Z37LBYWY3lt3JJetrTTYOoi4AGTm9BJS3MOmZqblrzrLWncohhbEdcb4
Kac9179YtkXkwYyfH23/M1GtwM5HNXQ/uH373Okz06sEC7CwIMt3E4J+pwdmao/TW69zMRjuxrU0
l6Cy6DE06H18T1tmXka+KdI/xtIM2d3zELPnZU1ApM1jqdmvXTcdSSDbailQdcvlyDf2XZBeCMoB
3G47tx5/oYBc+YVW1pshy65r4d86sf6ajrO+GJkT4huCD+67w0NuipfE869pOXCB9oXYyM5g4DC6
R6I677XMKpbOrD/GfcK5VCT4ToMHOdbXEhluWHMbNFn2JrTow9hr99LqrsZovMUKuKE0ee605BP6
MmwFMC+XtSQAdSaIbQ1D+Ys7TXd6B42gEv6Jl+lqgO5Kq7gKxBdDArE1+XWUJ0uqeRP8cA7ghLGQ
x0ohdLdzAji2LsoPVuG8WKSHLotp/Ci6gfeXUbFlCElb7MkpMfrsMx7UJ7+2sIKa5dbInAMTsF3p
tJ97DTu2GVkKVLgN6YhQhFY3cANbVGT9uGIEHy3gYiUrLQK5NFme0kOSaNLyR5pxNSxsdOqYdM3b
1pFrX+Y7BKS1v264yw8BKSbXZlc+jg3Xz97iM/cCtxASL2VDFNJoza1A5DVFl2mo/X2QQqMt3Wbc
ktRHaF43iGVXGQBougi9sya/sNtqffyuVYsWOwqSad3maTU/9F9NEHY/etgTwiAVd0VgYSnQQusx
Fgl2ZEwUOv5iAvPIMSkE/gpltPASOtvC36J7xINheB6pYHV2iKVw13kfGGs5WC9lb5MapsT3WcRb
uhhaB1YbK3niPpca4UWh5493nsTyUUbReYzmz6oljavQW7G23+gUtx1EekjqQEcLx4tWaPg2mete
j0IAiI2Xs+49xVhRIo9KB2DFxmkhNGJWqfVplWFeyeJug9G2Xc7YWkrZMI/A6CJQn1xnWF9S4dzx
1zW2FaaYJsGYgEnGxyxTA7NdhsHw2jjisSyt51x3CYPEYJNkFj6QimgEApAfbUarLB3ZtBAOfj0o
h06hvDpplF3p6D34f00Ehwnjy9ZmpeNIyPfaurbSL9NcPcjEfZRVfGLe8Yq7u1zquXt2MAs5Xakj
GYmshYXPBWchyy09MF71MbkFWH3Fi4frKCFWsE3dh7wnamHOcE/DS43WFYR8R4nb8TSBx0Dvjo8X
mRkfPRclfBOZ+0ZJ42M08ohp8YkYBx3tPEGWV6kS0zPFbTHsO9GCbBmfACiKi84lplKQD7AOUORr
0dxuSr8CHtv5MYJh/bpQAv5eSflNNP1zGHzUpvwK/cyDpkT/xjh90pQNYCIRdFkPw042gv3rhPTO
DatPQwnMWVPbXlT6D7HnkMUkP8UzhqvQ1PN71pE7rTAfXGzjy0DyamRusMHHoq8IveLYGPZuLgOC
7jpKa24H2aKlg1/d5BnvtSanE1lkJG3Uh1o3JowBWUhSlOoCm6Bt/A9mThzz75DlfwYFFhueXwwK
ELct3pR59edhgfrOd1URrjoEaWhFKLR8qo53VZHD7gkN278kbN+Gpc5vythHogxgDmG9Y+BYzm9M
FxgE2Y6BsuNvittgdP5YFLEcQ3uH+I6CyCRj5vtZQdOhcWJLrBEsmsO44OaNg2FRZE6BIaktN6k7
ERgjrCUGkouO4ABJOf3+UKVPw9SWK0xkpP2iTGaqlix1xykX5jAFq6ryhlXcNK84hB/LZPzAluI0
4YFlGOfRoWf1GqA6YY7WA+qGLSSRZBW2JLt+pRxX1icmb8veJUBBYdl9nSUOsQxca0n9pI/ul1HQ
TyeDvMvN5ME11Amaclx0Gi6a3K+eRSe7VWzIFVEvwyYJJSLqUtsUFXJfQ6u3Q8rmRQRURk2XHyJW
SSTLBiVi3MEGfR2M4oPMem26JANo7002GkNuLUqVbErSsS4RjxpEoPoYB5hz+hup4lF7FZRq6h2F
B8zGXoWoklB506lYVb9AqK+CVjs9+dySvBroRLAGKozVaq+z/sFsoGZju/SXg99xTJDe6qoYV4M8
10QFu4LTNdcT4ejLpuyPTtA0h0ovXiszIhKhyCJA3pQSBhnguQBdkYasryLXXjEdvNdJMUndjgnz
yGGCie+5EOVjHrslo+KxvNILdM+a68PcQLoWEsuQwdIwmm1OZGfmu4fRDp4xtHPRpda0L51k0xVC
3xtcXguAINMa56OJ+avEhp1hM+b5PHlhGx96qq016mdaeyMgs2yw8nPg6ffUcngvJSQO33GPIo9b
TGRDFT8SJmxm6xpypLM2Bu80m9NFb5C86w6EbVJNPMYc+l1IeRtUNbkatXWuQp+QGXNHi3+xE3cf
ZPM27btdpM/Nqm/D+9bLz6Pfb83RnBap3jP04JXHWx4ldrdnAvJExMq9W0bbYfAeMSxQcNbNbuzC
e6D3V/UQ39V59xy3FMcjzTU2a7kkxo7hL0Eg8GjsDbeLqZIsrhyQ6kde8mTRdclbwuXZ1zw3jenY
2rIGe+eYhEjPLtlE9gezzrGR6tzsjFy4UG5hy8v9ZLdIRzVyfbrhtdCadd7c1x10brxxlzBKYHj0
kOPnQ+0Yj7qfgLQok20T1zt0/y0lunVi5/4h7wgh0FxnI1tWxlYl6UNCZDIaAk3QJh/9ABqLnmOs
d2Yct6xmqTVMcziWjbYqjXFlevarJXUIUkFyN4fRmQXuU1UT+WMbj1mlG2vdJKuySIGzp9p1oPvb
BCgLC18Pjk3x2geIPpFzXPkhfmL0Wscs48sM/zi0XYs/Pt97YXfVt8WRr5zX42ix6yttOntvyMwN
bJqJGlsr8tsIJ5VJokP4kpDkXNgJbZGtf6Hm2aVx/9L4A6ZOojI9noLlfWi94pR3OFQgmK8sAxJP
a+3qUD5PLsMZk1HlYhDOlWd2t55Rgb4eMVnWtfUcd/V+aGoCbPoAQ5S4WEm4R293MQs/Jte0P9k9
gYKjXWyDovb2PntekgK2sZc+JWZ6xQTnwS1Ql2SJDgpGrEyZnaKiOqZ695Tm4q6OeS1y2X8SOR81
vT5h0TmPWd7tw4lej1CfXWZWx8o3b3mTHMqOwjeq23MTIJtycUB0WIxys1ph78w2faOzWBiOmm8c
NUunBhu0vSAMUK/Fpq2rfT4Pu6Gnpp3TK2JQtm02X8j0Y1uSV4R21cdR8pb1mD/mTfYQ6MWHdACk
Utn7thZvjZCHqHT2hhU99k18Z3vNPdSLbGE7waa3I0Q43mtKZpaRo6ed83IfmPUVodeHYjb5hBnD
KSrTY0z41phZdzTGOITwDxhlpS8TR6eajzeFlGc7L4+x6335Z1rzdVqjROr/qTapi4/15/ivjIrq
u7/VJ4BKDEtVGf4fJLI/6xP2vBjO2MoiZf0jce9bfWLzXyhCYH2738hmf8hqLOs3DzMQpHubsQ4L
37+nvjfVVOY9o8wxAAbYDmxxVDympf8wtfFHWyNV1YqutZR4SVsRNLx5wu+qqBp9rQAbbdXWNetQ
DfAGvlsgHMFQNcnDlKRY679iOgpF7CgqGY7MmRXJY/wK9ehY80D4CMdqhvcxZmw7+AT9zgKxHPpd
fIoKEsKmuYYY0n7Fh3htixPORpQGgMfVnQUa/OQ+L7nDBb5ec5ml+nQXGR7xYSbmgY2UGdtQtr47
YtzpFO3OfSyMXusIYmn7R4nRGXmZLedpKQoS84AgkT6aWtK7sdJe0sIjuNBsSYarb+BPpG0Pzq5u
hN6CLjU+oc70OryBcx4uvdgJln5pYknT82VuJd1J19z82nWK/jZnfb2uyXwSy9gt+l2nBTZxHJX3
wSzycYZy4Jczt1XnEPPgxTaZvWBib2l+scfMbR7vstqdP+WmpsKDxdQUy0nnEjQ3nW8nGK+E1aXl
3uutdmvXvCDNKsbu9NLGtWGsU+AOa5EYXVRAAouYYsFC6eceHsNgzbPP+sHjyyZZh1tXb+dLU/fJ
B4ZhzcV3GxcXnmOwS2ZLfY/r4tq3GonHW+OveVNoYa+vw0axA8Kg7Kp9ZBpdcPZiM3lJWbffjz4O
bEqjDunqUOhxttOtAk2M5rEf2FdUb+Mhd2MxvDmDF775BD1tITAGmyyOEELFPkELjdZMINNqlx49
bp4jy5D1udJIlHLm9h/5yR+QpF+K75VlaIME5VPcfPqrxup7FT77VRQouk2EK/q/Pw8u0/oN+T3N
iNKUkLrxbtzs/kaYBXmf/p/f9e3ggssEWRQmovH/4LBWpqD3xxb6ROxCnH5Kk4jKWmn039GV7UzX
vSSo5/PcPlVesOi+vUP+LfZa/YQ/H8GzdX4q+EbokqbPuSjUM3j3COiGHTlKyzizt2IWxMosXjT2
577fvbs6qA2msCzeiw6+/01+fpwftsmlZkik7bZxthW0tL4a3M+/fgBgNb/+TX7oQUOjKkzytoyz
Obrw0B5c/wtS5qWvAaHq1wiRlk3/IgnFjm9anNtG/MahGoY3ZnlpCwT/kC+qo2OHKMGZ8opLl9yR
nrwa2Qj9+pkqK9ov/+ZqxfDub24R/c0QUP0trDXHLaHUT10fL4kYOw9MJQP4cfGEkM5cVPxPz4mX
v34CalHy0xNgh2ErsQD8APMHBUiBUqklfHs6Y/chBMjw6+wqxXVCLqgUFQw5TBfdnv3foR5ZM3fD
rcGMixOvREuvazMRUnACTdnp/aYNVfhh29XbLH82c+swBHpDeaYlxsNo5cnWSv0EerJHPlySrGvy
BCUdpNlXG3SMtFXTNprPvROv85ABITQwLMjbGst1zg54TvDmPzcM9sPmHl/CyWozzLLOqkeqYg7l
HoElIBli0xK5Su17rNcVM3sacMBZ8WQsO6PDzpmvVQRS9dwkOdgeCD1DQTSjuCTJKRnzbV+Y5UNu
4/m2CKQq/ftWOCvBIDDpsbTYcShWIq68le7lYl2m2QtCpEWeI9rxycJbpaH4D6z4H3DZSnzx3Qdf
KZjfv0WGGH1OOzbzWd9au2A/X7VP1tbb12fCr67aHSa6NY7nJRm6sN0POczs8UXbp5t2q2+dU7xJ
/kMG2vcDnp8/vkq2/O4tKzKQoLl6y5bpHg0GUbQ1ro9Npf9+Yf3b4+iv3pnvj6MfDjwvzucsoi08
awhw78fPVbgEzibMFfXIrz8EPyQh//4rvf8Q/FgS8ompLT82zxFjqZt0RLKPxWgxNJQVy/AMpObX
D/hXJyBiHupQD5w1htTv/4RE9Yyum1nmecDNUMyvvXbz6wf4qwPw/QP88Ldj+EI1FprmuelXHarj
QVsyp/kPv8V/epAfTll/9J15YuYIOPY4V4fWuTedD7/+Pf7qSnr/e/xwPE7c1cjvbPMMFoV1KOAw
59ZPrv1o/P13+e+eOZ9iYvOa8kv7P9VP/lTKqY7DqP3f3/+z+f3f4VupGOff/WNd4CadLt1bPd2+
NV3Gt/7+gVBf+X/7H//gRN5PEmr6x895XDD4bOv4U2v+xeiYl+XXjd2h/Fh1cfHX3/qtq4M3h6XB
YN4KaPJ7iS7qNZUERUNHDYvqjLrpW1fn/WbRXQKDwb1o2l9n1X8WR8ja/vhhEOn+Hm/uZ6+ECmMU
SicgsC9Sjn3/iXI9PR9HMdXnSUNiyb4I3AmrbBRVOMGi4hwLjsII/K8D7pZGwb5UioA7h/qtFYjb
tO7eSlS5ixFYbtL3xwh4bs+CNTXNpQZUNwOu6wHZnU1WK70YAdZZVySfoDwDyAu0cxOE7lUDqLec
tIsDuNediicb9y0COXy85JXjWwORiA+iXEWw2xcOCGDbix5rkMDAVC5Tml13E8BckMEjO23GmCNz
lJnGh3C+OHywyeDW+I3WWT28+uCHA59TvrY+WCEGbfDEReBsYLwfe1FdB+CL/RKF2CyWYSSvO/DG
VlmdGBw+ESm3iwzj2gfrq6XlOTGSa6qydd8BiAOXHOn9CzjtmyjqTuEwLfvS2wrwyhaY5dqU69T/
0tS+uc4VhzkiVngGzBwMLsQb8ZQk/V7DxtEDcI7Ceaux9cwBOzuyvpuaCffWGJ9D0M+pO6wMUNB2
k+/mqbnNvfa1ABWtecU1BM2rHoS0PXeHvJ52XYWdEMS0m0g4KwBoAn9vheLWjVygf0CpW0WnFtlA
1qOrLYyJcVeQfrRKcesDtI7QZENads8dqOvQJLMz7Pf1XCwbUNiJP+4N0NgEHbM5sNZOERuLCnh2
kI7EaymetppsxYqw7QywtrOpC1Yl+G33K4e7GreehMwdjpJRJ07wHGg3dgPgzvVXlHcz+QMLwK+I
byil0b4tsbmdxTyPMTIKp7C2fV3gbTNYGfQjRgmt1Ldl1WWqmbxNy1YeCodw6aZii02uNXRge+5X
/WRgRBshn+DWN6G6zcmtaZiQTdF8Me/dJQWwP7Sl3ppfaV4W5gwau+iI0pQweFpkm8BgiCcMyFFe
NfhUYjFVKxBhaBktyClz17JYlJWJBrt5wCiir1OHgi3JzEvsTaCXki+DjazM18x7DSli6VkraI7n
2bQ3ok6vqyYdsKYzHM+CN4x/Jy9pnzSmw8mp7sgh52u7JRnpeN+dcB3n5cUsAeN05M/KHnp2wM5q
yVSS7HEpXkMQUAsdMNJCNhUKS+Ffx3UfLtwx+UxU+Uilz5az77Hcpab3hkHpQzGZD7btvPH8o0Vb
6g1qSitbWZJpbZRb2GYK8j3xCRM6gkxFZvXK8uJzH+UHfHyPYpzQJOqHxPcO4FtA02jdmgvhMZ7N
tZ9n1TV+/GqT9+jmzU5zTmUW3BUyIo8YWyac6t5adcJiQGAUzwM011VT5Z+1UskqRiSlbhQWmyQd
94GWbROdcbA/9y9ziXEzIzw91t3XqB9fR9FDYRlz3reus7Mchq8uHPXQA+VgVubGkxnjd8vcBqX5
3FYxwg8iHqsG127YNRTR8fMUgof0NfEpDgjPdXxYPl37qnX1qjGxHoyBvqqK4MkK8W9OeHdnFIpL
kSo7M1nlokW/N9fyPmLZstKTaYJdw+s+BsGzlWHUDGTg8v6yNli9WbH7Ax/ROJ0wtPKxrEmz4OlZ
X3IdtmIfhIojSUmeggIa8mofx7PDc+sP0mvOYw5xZkIxDN99P0Q6ZLv+sdD1A46cGdslboYYicii
08erNNLvhrA92kV0b0zgYPrEWRV1gohTDNbKGbWrGLMsLN/0oY7Q4cash1aZK8H0RFFabOoBz9hS
KwM2KigWgSX10V608SbKerEodMLI9ZmtN3xt2NhNXm7GzoRJOl2kSshwjTG7ECT3R1P2312MbN9K
FZzSfF98/P9ci9j0Cv++FrnvyqzLi7efCxH1fd8KEWB37KsNCg0E6Sqz5d2URoeDRzCl65qqDHnn
2kQQD7/FokgwHVJjFN72v/4sREiEMl0qccU3QFD/d0SBztfw1Z+mKIywDUgO8HfVev59e2T0dp1r
ZZ6fZzs6WChORV8CbwdZNRdJyYrDEYskyE5CZumGLf9O74xtLNtzRJwC+lm0QualMMDVWcZhaOTH
tBMvxD8CQGlP42wQqSB2c4QfPdXKaRm54UszZRdCd9O1k+cfYVyRxRZBcIJGJZezMYCNmzJzkaVR
w6eqLZ5KKzp26GWvCiu/8aIUya2y+c2utgTr8Opo9gZE0k00ssutwdX/H/bOa0lu5Ny6r3JeABMw
iQRwW76qq9r7G0STbMIj4ZHA058FHnHEGUnzh+K/nbsRFdXVXSbzM3uvXQXpK2HLKI5KeQPvFWdP
ny18K/Y6vVTfpFJos3SMYCj2JBSozDq6k3/uOoK/w+LRmfTnJOYLJ/YXkiwfx2lQ7F2jvZI9YxYY
b2qQN1DVTnmHNSeI3SfHMDZMuN/HWO7aoQHQZ3GwjIF/K4IGMj9Fy5hdpyPaYsKVodeNyRoQDld/
Y7wEBYIChbradNMzanFQrdV05QDFPJZ4/oG2gI+LZVDsjDR4115x6w79WfS+uq7qO1M5uyJLtpNn
3XhusOsdfT8BhwUKm6ycxvpwrBhig/E6iPCFVcdO9n0P+YU9rJMXX6AgPlWEhBCtxb1m6fR6Gnjp
kAncmTrUmzaTxXMtjnJqmYN0fkS4Se0N15FJDTkiZib5Y1xP/fAQT+mW/052iWzzTVeXzz2/RoiK
ap0lhGSLUe3dxOS18Ql9N6ereuB9SFNEjqnp5xs1+RinJuc+8cn2HMNvzHPgEEj5KJS8N6ja10Yn
zwFaSg5kkunjqsY82sT3BtQAN+3E2VUY+3WdPjII++qbUIrD4q6Is29p2TxHASc/iMlxHfFHHarQ
GjnGQwY8sJHXnm3vHLFI07wQGUhClGLS4/xcirpsbwry6GxYa2WvJySK/Sfuv2ojJPeP6VWvShXb
wKryZS8cr+scAl2kEG6VGi2g0zYAJ3zPIo18Iq3TCqoLiNanes7uIZD40OlSZKWJQbSYRmZX9CWc
xUZdmQDWzhapjr3fvibSO7vCvYeHkay9BI6QYc3zvihZBJdhQwLIVPLJdOz3qqwf/IE33h0jKCDz
NYgTZI4GIL7BpcD073tsYKMD+8EKw6OXGWRw86FnXufvgNKxB7Ygl9hR1q6qsRlXaU01Z8zTR+TM
sN5abAw5r+iqQ2fVDeSkZygVJkpba8mgAFa1p+AotlN2jwgSLS3XVTR/GNn00Q3yMdLDY5ZbDC38
W/qVbE1wrliPNnUH88VnfMLlqsu97aI+i6dBntAJjis8AS5vO/UTfuYP3tfphIliq6pKsCsHK2hD
pbN1C4XZuGgTZh0lX7nF4fBBLsdhqjpcfrKYeLtYQeGxBeXfKCTI9fhQLDC8ugXiFtoRmReO5PdZ
oHljzyeQf/9uL0C9yc2JpV0ge35u3Ne9+dku+D0hi+SkPO+pgszXLog+RE2fqOVuPJQ3bYr0EUGH
2JYj+ghpYYJcUH8hzD+0lrzbCwawLvmjswUN2MMIFAssUC3YwCgBIDgsKEHG2IcQzc9BQRmsZaL2
AUejgD9YU/MQiyEucxfftItykd4X/AvUwjEtRgbC6raGZ5g2cA1nzkplPVhRba/VD/Sh8j4iMC/Y
DgkRAo44LphEF14iIglrDYq/BpQNjbJx+VBnbfg2wFls4C3GC3gxyg2UeKAYaa6ylYDOWC2YxgZe
Y+8YmHKcBqTJAnMECf0FLzRHBUU6tEcOun1UQ4y04UBSlz5ndvfS1JTkeda/iAUZadmjtUFyH1/N
C1Ay+YGWxJaKtwU/OI3FsWnTh1I6+3kBUoaZ9TZmLDgDPDTuD3blQrF0KkILG/t5kHdje5rD1zG5
ErFzV8K7ZND8nBrFUwIHUy5ATLQr6J1BZFYLLNNM5afFQb+1GOoOieSrvaA1jQWy6S24zXwBbyZC
bFQwntsqJ6zGPnjsUYFGTtt5sh7orK7iBeJJbfvidZSCZt2d6u4aC+2qcxE6RR7BaAsFNF94oDYy
57XbJC8WqNB8YYaCBrF2sHouwcITHVBD7tAapRhXHQdLi8+7BYB0BEQKQ47BGRpajGQqCmrUoBh0
hFafTCfjy1h2EBkiTmzvJVXFuG+6BPlRV8/TtRWbRFO3vM/YiCS1Ot6hJFwrzq9T2M3BjeU06sac
DcxBpDUdEWJc503s+x+9mKb9rBE/xZhQt1weKXwBQthd62JX7pHT6CRDPjq+ABwOFGdjNALlsVdx
Qgx1tBKtcQC7ey1EGx3K2Px0JvMznKIvXDnpaoo1smljU/jexgZR5HT8jq1jqQ34auBn8LLdKMbs
ldpYdhifQ4J7jXUxEBQBtnuskcpaLaI8GzHvYIBZA90SLaFNXzrzZInwPgu9g2GMNt2Zd+NUGg9a
X1jrLDefePm5xa38s9LpaQDzu6toqJtW7lMf25KL139XahPTG5rWTZJTdlv1+Fp2KKB1/uCKaSNz
9wk93i2JSh10neyI6mbXJPkt2V0FZBnNLqFCeCW+crjedsFYrvOYj0Ai63t0ejsOOGs/ChqawGqv
yxiHgjdbh1J2Ntrg4sYLGgRdYUyjh4F622gE2Jz7OcklM/J0iXRK0+5VElh6ouyPucXPmI8wKuD6
4TeU1xS5r01TnbWXe+hyja2VwIgb/TeuFjhF9n1TD1d8cw8erC32D/FTNeOaSxOSkCyu2sw6J2F3
Febqxa2s1zHMFsCs99Lid1BMhhgGAa1IWaOxc4ieiwnOnYWxcU5OjWguOop21Whnmz7x72K34o42
5FNfDZdZxytGw19yATk/I9+kdaYzMvb+MDVTB0BeXgoLX7YsOAiNeG+6icTyJA6Zss+jOV/1jeOs
I5d8JDnLl3QsilsnNGd0lr6xMsbG3gwxeWnMkar1yBJp5RbltK5aD/bq3BxaHAHYKNMv3kgN4+v+
1qtaZx80g9rjBW/PRd0AS3XGqzzFUIjhbp/lobEPfoSq2T8C1twfYWvYv08yIX8N9/wx+BHJlv+I
Z5t/RLX96EL+bscE4/b/3I49qPzj32l9lkf9bMaW0W9AEyM9+XO++7sW2f6NJbUP41I6uMyXPuif
U+FlFLyIb3zTYabMwPhnM0ZUoQMRk425QMWMpfG/acYsn5/0y3bzh3F5MbgTdWLDz0E688dmTPgF
l3RvTzd+FzW3XjoV90h4vVeVC/uE/zF741Dzdj4r0MsIqYQw7iHeWO4wP3vB2D3Epsr3uDHAvuC+
wl3bNczSOAL92rzOF27U4Fjh2XWD5g7UIo8ffFNs2M37W1NV+mD4wUnb6IjbLu5gRTsZExiz3Kcl
SCpqKXQ/VavfiziOTqrmnhFGl27s0kRY6/sV5+D0HNg1LlfQMmHhnXpQKtBtjPGqzBSxAWrUZEIE
IcejeZM5vcLtnGXrQNbZKk5oSSSuRhU4+D3NdOaMw4XyWU3WKFh1FxuaiWiZqr7FOgoZqw7ILqtT
ChFuDa87O9pzgFUJKfptZEWvZjaRE+A0O1GVdy6Kuy1QO2PfyWjGu9A7JyI2vG1OPBjdWntMOhFs
oE8Kvsal2A7ErBykNfirBLDbqS5w54ZquJsbWGZVjvMTZtu8MlwYlRkjMkrH69RhezVMvDpGD2wo
GSsaq8RCo9DalGTeWB3ruD0x3X6vK09jQWNGiAIt3VrUYHFUz90CR4+3xgiJL1+YfCFwvlQYLH+h
9Wl32Bc/+H0LyW9YmH4auB9TcQZiJr1ZsZD/SF9dZ6AAcYDdYdFzVpnWextYoP3DIgRkHIwDKMGh
tm4VaEEzasnkADZII7jXNoW2B4YwXHiEciETMl2KsK65YMHL4orL99NdOIatHB+GGD1Ra+MnJKBD
sFmm6gV/WIJBHMAhpmARK/CI8cJJnBdiogzl7RTicQalWMwJdyJwxUAsFOgFt8iUtgK/CD4FcBNA
RhkiWppBNBZ288VZmI0B8EYA9nsiOJ7qheqo8eLBrcY8CHIfJFmdudRvFPH9V8ExvrYcFw03Td6Z
y7XiW1Ek2dmSNVdqP+XqVAWhs/GsRp8jaSfHvw/j/xNgstv8i8MYGdO5T9r/ufmStNW/EzLx8J+n
MiMyvpGEOQUwPQJssr+MyKzfSIk02coFpoPQhenZz1PZ/Q31JdIm/g8f8lnAo36eyuI3QGQ8jC3e
P6jJP9eWt/83+mLj+R/3+n9cfnMmcxeQFRHAkjBx4/7QZ/6iH2igYLTQTKObiFlPa18l4h+kkf/8
DHIZsv0yhBNs1R16VMAmiOSBA/1pb1xYygyqfNLXUeYdAQcHO23babPzCn3RjpYjRryp3TPbTbdg
z3FaWJ3vPtjY42ixcFReQBoELZrHsL70jeGTqNg7sr5IaZh6K3C5RBuzsvCGEOFC0zya1SGLC3IL
WOXtNfLPfaPAtY+WtPbMnuttq0YEMLIC5jLI29Qroz25n+amVxEBnDAV7W1EaKSxL4txVg9lM8ff
C9ScO8cCrUNsQEuoESFrwk6B+fK/tlaFs2wbi8J0HnBAIpmnmK7vOs1vkdQkmBuWC4ksfnUq6yrW
MTdAzhAtC7KjM9R7vDDnketk5XXGNWy1ZzdzHuugfWiy+UwQwrOkemOEUSv4QeJcN2IbifocxynA
nyg7EmKTIHSVV9Tz5EwUPkMJRQYS/aLJPmVW0wk9/VuVptOaDFCYaqq+aQjFOLADO/fa/BLLbMKw
hq1WhJSNfm59QnPIN1MQbCccISugqQTfCHrJTmt3Tx72fFVP1dVAUaiL7NCRY7EnTbjZJM4MVLQC
HZtcCrDG29AR9YrFJ7d3cwyb5D4m2IJrF7ZEZGQs/xh6RZh5y1ZDuYiLB9V0VzFps/hkTPl1Gii6
pyYa16Ytd7rio6qtZCvQ4zJ5Kjf4NY+6qi+jKGlRUhY2Gdgc8hZppqLUXToV5npa9Ie2JD4Hm58N
c0QAY566S03fBPyoOQ6ZnvYqNz+F7L+BL/LBycuCSSXxnas4c5O7qvQLrAQicdew/MnOgLMXAOve
t775NTPi4yyN687ynrrY2OdxKJeUVzaX/jI+PpNQdTeUxAGl9gb0/7ZlrFxIILJYIfb+2Nmb2uGF
p7k4tObwAi9PwfSNFifuOyrnizI7h4GgPqE+vJ35oYOFCYIQpVlYe6IPP+wW8q6hj0rMZyc0DoH3
rMN35c8nr4Bh6qbRtvFcBnMWnh6yapmI9p3f4c7Jzq493UZhaq0dspZXIFff8sh+c/CqkdFonQNR
RjQRN9DqpkIwnJx7+glIHiS6PPq6fRLZAAgXsY4b0+8P+KZIoEFOOyRX0P+OzGxgUQ3Wc2XEj75f
PBmVwkU87pY9MkiTUx0YJ63NedWm8gSWfJ/LnLWT124Y6GDh6UV3L8b0xN935abmO1MhumcHUWSg
uP9sp0qvAeFmB20U9psafe+19RVkUj1N4VPRhdm9Dr0WSUFubTHTN4SJdfGmNjLWmXkHuaSbiMey
DXMz8rU4D5WbXPdixpiWN0PYrvtKLt8wCyPRqg6WdWkd+l9miVE1ZsxisLnbDq1k1c8lHObVsKLe
avkwO0vJ1OdXTP5wstvufWeasKjqsd5EQ+WvLCu9GtT0UFQZs8hRYe2vWtK5AvEq5UPKO7+pe+YK
nm7Lk8/W/xJW2L30TDtOtvYXEdHpSpzUfOUwlwn30YyqjNdxyvbRFJ1TDK/kM4R3Wae+9DpYpyFZ
cymRf6FhPpDn9eY41TtwS0Ts6WFIu+9eM97kLgq/iKTuFfFkb3baM6L33pFTrJjWkp1iwUkPxxRt
ZgunJ11AgaG7maBWpgw309r+VshO76va3aTl8DY44d4VXYWfqn9nwrKrGt7mbAQ87b1YZfvs9gg0
LAV9VacPOp/OZTAeuhq7mzGmL1E8HZORr6jWlwFSZlQwcjNzed918w3QlTcdu9cqFWtfDC/jUhWN
6pR487AbBJt/bTaUzbjfZPY+1wkm/1TukRGyCcqRcXR+Qs6KhoJPUMQ6deUDcDBewRx7XlR6j0Tm
nTqHRI02Md+4CVAzILUzCFNkWdodVBq9uFONA8tsDm7hbJfBCBvwi1Py1xexd/Z7j8Ca6MSQ9y2o
BrJF1boi2BcW6gHPELCeEO++nX0YUE1Ynhz6nF6k7sMPs8tOvNabZNYkp9nBSfTTXVuZ/JqiPaWm
cWhc+R7i0BkY2olueAiFt8EPOu9aHVAwJ/Et2IjvYIRwT2PTMUWKBnROLoGb7+uwfizKbiatWh2G
CAAMrJbpbBHUkdr2uW+SdxkyqG8YXtu26nZlYVorJcR4i7U1XvlN5Gwzv3ktySfZGaZ/YwbwfMey
rhfUMPAdRlU7iCJf2dDQ3mBdfh0ryecFG8R2MmnxHJHk3zSTuo3tFDHBH5N9GeM2/P5LffaPsudX
lfOf1HGUICTuQkunCoEcYkkqrT/sATPXKooyNK7T9InAySz4Itz9/99TLJXWL5XUxKdYZj1PYTK9
lahbqhud/j+UhEuH/MdKavkzpIlIEca8uxiRf30OG0gIQOMkujFHbnkgW91Z60e2c3/9p/yxUccr
xKvlUrQyFJIkiJl/0hJGKp0cLxuimx7TXo0mo7X5HtZPvbgdB2slW0QB7unHc/4913F4df+6lbh8
kP/3r3v25YE/m4glk8C3kNShpmNmASvnnzZz8lBsiyW6FziCe/SXJsL7jVUIy3RcCiaV/q+B095i
oUBgzufov8+b+5cmgomSjaHdZahDKN6fTVxtP/Z1IafxxlS3TSS2EzyTX16Uf/P9/dMnEjcETQh6
QlaAGO1d8acWQo4e0xSv729akXKwPxvmTeDeteJghXwksTJv//r57MUz9+tX7V+ecfmNfvk629iA
E06p/iaF90IdF3XBamqVvaxnVHs3Nso/DR0cdZkB7mjlTqZTDShfw7Lrio47MCrlu8bccZQOW7Op
rsSGUT04DD9mlZs/lz7bwaoxQbFk3wNtvJYz6EjLFivm5ayOYeVCdskxkNsxpmhOUNAuSXQQmdwj
Mkh2rus5EDVZloWTLtcJkI6V11CYEbECIMwGyjsSiNUn9z4iSpQYauUlw9moQ94l1udFCNOlJoKU
/cxqkuNdCM+OqsA5KGXdDpA7mN0cS5MtDvOWKwU9h63XU2NwKw/l+zA75EjFhwGi/NYi14kJ015U
/olJlwaIp8YdzVxLHsV0Ub03P3gdPjs2bRjLHhivyYPE0pBaZX2oZWx0d/MPj0NfNEgdcqT7He3k
dVnMGONaLil6vhozqn+WcrwYojjjLj/qjGCcILw2zOya1c6LlQes9zFtrQLH2TV28lW45rfcUC7Y
PXHRlTiB19kMWXXuwnELUejIcurWBJJUhtyzejqPkz73Psi9bi5MBuzjVTuYLzUjHiEgCBTl/OTm
2A9Y0mbXSV/elllHDAD5LnN2MhVaDF2xSsg6dsu19kkGGDJIKFO+bVPvqe4gkaaGGe3soiKOuB+7
fR7aLdT8ejrnZJPtWt9GVIGKbrwRsX/f9o3FnpmAjjhudlZVnMI8ue1L42Ec4MZgDV6xSd/6SYDp
t/vmxVh1LZmCdhu3QV/0EGusDXcjxonprusVxzlWHzmK/dgMO5O8mo4rubDMjVLqYS7FbRHWxBNq
TOhdng33eorvCYo/NtBs/Mp/FVm51p7bPFamgUQ/ab6XgBZIP92TAw1vClOIIEgBjNCnOUZXZc/e
QoCM5AQ72kUq146T0OiP7Oej2zgZLsJNAfkXe2267BxLsiHDq7ZV1DZ4jOcOyq5xzZ21sTE/c1Dc
TaAHYCsgrHREuKsD51k0zMT4hqzrDCoDupLpkI1EaDR5idIhggg7GaesnR8xFcarKe9Yh6mHdDA3
KGT5WIdYC3rf/gj69INtx0XVeYrGhLCRsWUDFbZjAUxz8A8/jpm/Lz3BDOgvL73u43/W+Ufz8a/X
3vLQ36896zeGZhZeY3dB+P/p2oOfgqbLcQUhPb9G8Xi/4XeWi9dPeAtZjvLl5+xMMjtj0hZIhm1Y
j8Fe/2lW9pezsz9ZVZbp2cJEMWG4uC7PtvwSv14SnhVZLLFddWP7sJZBPy1554seU5MHbevIOrIv
3OUgNcqitNkQlvFbAW6Dtnjn49ZXYDg87Kypa9zMRrg1kT0jPvHUOV/YHXy1nidgHn5QgQhq6ad9
o9sOAD9kExLA082oZRcOiEq9O82GFZHznFbmNgcuzOjMZRpmafOaDJcBQoAY9nEYMzx3OZRKs0M4
ZQXbOW2QtkTTBjorOwdFR02m5qGXY7ExQkGCOGkn08TQC9CQu4mXGNRhMJ8GCygnGK7R7lpkyiJb
SxO1qNu4XyV/57padF91AGquH8gFR2KLg65MvwYJEugpJMWwR7uE8oOxSSnCY15xMmAc2KqSOT26
r/zKdY3xHCZEjwFxKteiSZ/I56L1yjsLS1B6o8BiuekE1m4GhyD7R0ZtEoN2/bSMNKvagkrhjGeh
YXE5dbhIY8t+Uxr5shE16zXbZdbLdX+pQJkSS67y3TwYe3R2J7e0yQwdMLgszr8Rz9k8WgfPITxm
ypJvA7rvqJyvUQKhavGIsenT5jXvQKBAt1wY3+c+9lHrAUbEtd4jMNLdWmX4BltFC1Z1KVIQWx7T
Tt5lIbBWh9zCjT1H21oU/m401NfaZh2OfJy07nEramOvzIKMmuSGsuTKcWhzC9GiM+MzQzrFbZ3I
buVnvDQmA4etoP1rmdq0ab+va+fiuTEGhUAZ63pIFSFq5SarjH2TGnisVHuZMxjbSDMaDkJ5Tyt1
YWirts00aHAqAiZoRo6lg9xolYsOM1ZmeqzamWNFLf5rHe+GtLxEInyf6mHa5Ya/jxgtk4VgPoua
ZDyEdRsLSeVUd3LjJ9FdxGDJ0ov+XyNOD741cgToM7S8hq08RjXKf7wh565vbxLV1sadUl4+f5Jx
kR089NdBVj1nIehX9oRX7aJoL/tlX9YFbyoz7zu3+eZXE7F2LLTmaEc9BlhlPAWdsWtM+0rl8XWi
1EmnKA8UkoWSWRA5Tj33cT8eZeh+Z57XU4mNjtgnfegRVlAO84Mt50tUU9lYeTISfUG1MzqS5xV7
NOv7camHiIk/jBRIjfvWLvVS0QdPJTc1GVZXjU0WbtG5KKod6MjzbT/byP4RYE9uf8dhh0i729i2
C+otgUQeUrA5bXeG8MD0l4GdoqTzLG+NjORhBkm4kkvVFy/1n92QaiMK8lqDyKIAWupEh4IRojk5
sksNaS/VpFrqSqPnk1NW+BbKpeosKD+JL331RPldUZYWS30KUf55JujQtTIH7SE1rLtUs2YTeis2
lV98IANn9lQXtH0cE6Z5WyhISr1XWzejk3+S4qG35jx+9i1ozULqe4fV7tEph3emPTsA0q9T4sEV
rndBi6u3oGJmitOKPXCelxJfP5YF7nB/QquumPI3t0GSX5nIcJBpDGu3Dq9TMuI3hMseiGEOTp7h
Pvl4QnjmYe0E4tEyXXsfszXbzLVVAStK9bY27Ivma3DrqeCegvRA1it8v3wg+xR1ro3oa+HY2ojN
ug1/K0OirBXrIKk/4hq6YDehpZR5voWd8D0KviaVd992zn3Ga8I9YJEtVuZUT/5t0dk7Mwb2GA6Z
WKHMByI6o48dh3Qf10yNkjSns+jIeOLH+T6oO9eF8u9G1zHAGZAGyXAlDKvc8oZOB9fW9wvM2ioq
wBYqQYjml4dAk5JKzRodNaji0IBg4FzFbI/AP3jv4JVYfhbNKtLCZYKvd0ZcP9gJxE+EmhiSZL/V
eFJg/bZfM5ukLQMhSON6iEfq+hK1+APw0jz0rj4Ls4X97dT7HoWkm1XXDCzzY2WNN1Gn781JbY3Q
mZj5eFeqDg6GZYyP8Tz1u7G3P7MAX0jrsbaNPbiKC0jq73rqxz5y2Rr+RT2VfDb/tpTiUb+XUgu+
FxQM4Dn3H+a/38Uh1m9UMiiMHXC81EZUMT/XkMFvEGCITWZ5R930hzUkwPvAouv36DKZFP13Sn37
B8/gn6OtpbP3bI/unnIOIjBQhT+WUrMTF7GtEtKTUDbTW83sAq13FX0zMQa63MGNLM+JPyBIHAME
UBX/3sCIRdd405MswSD+Pu8ZLrczax2DBK8sfi0bd48S4d4p/UsVcL+13pslBTt/3W1nL7vqXHYC
fMBRtUYoxXX5iMMezlxg5uu6psIxk+oNlehGuvaViwQcwurHvCgQ0/nVFgabSN2dYpdvp069dYYW
t2UWskrL+dWKvMNIpgTOnW5plN9gZz3NvjrDm3/FUFGsMtf+bozlC8v65wwQ3Er07q4JjN3szbcI
3rwVf9kewX8PNI5wuwT1mxP6ZLiG47FLuAyMCQhvKfZezZ3WIuaYCv+5Hm1NgTF5R0Tv1moMxVVq
5oyMR+OAgl2AWGjCQw9nXgl9tJGxM5S9H6v+fiJV7Sl3p4+84pCTtX+KYvOF8ABSBWCvVKa+RFnl
4kDzjK2blgf00SkpGf0V8sYjqhx2IyExS9Y3Fm3vUdg/TRSh5IUgZJj98T0zgbTmFCO5Jz4dj/Ob
QefTDxLPiAgd52W461rSToA5S5jh0yFtp73vj9sK8H/f8ppFUQ68fYpSieeCjWxz3enOirchDPE9
1HdXs3BKJpZildkdlU9R23kB1a3dsSepldl4WzsRsGra1umCj3yoR4ow1+42MjN1sdJcUGJN1hIk
+VxwyHJKrysRwBurAUMr52sZN/WK0tjeOAjzOBoV/zWyOJrbryg6uCay+jvaW7lCCrKZmGBgTsK4
FLnZvbeYHzzHuzZi2193dsXPQJGsjPg11+Kt9PW4HvTwgA0vRr9fJRtYXd/Sqv1u49uYO5rRwcuf
Iyn4KMCBMwek2xmL+6Y0ki0CGGcr3IUFDd0fj8VBxM2bn7ndDtxcvnVD/23quFUqwUJXeuM3Zg30
yzlp2VPREfeVtD5JBEF0ySOC4IkN25RRdCox9QmNJLTg80JN6WbzFZnp+1RVd4OTsjmBRFstEHpJ
aCKbz5WHMwQ8tHwJl8Bil3/xrfElmuu7JEQlLYz2PLZvpetiQZ0MdQXcaU42/Ci9Mr1sYzAQQp2D
59KIW7J0NFy0kXec3e59P6nomMXIpmV5jQ/upMvquwxIys2x5pm7esqar3/fKz/uFZdj9j/fK4+f
8Ufxb1r05VG/3yuLhoValIb7J4zn93vFIUgXKSIx3YyFF/ngz3uFcD7hcndgtUaQvHjA/tmic+Ug
b0F1GPzQHOIb+y9adNdadhV/vFekxITMczGiZnyOKf/XFh2OO2ms/Bo3QxBn7SZ1IJK6Jm7c0jj1
ecTgUhCVZAwTBVp/1ONkrRQgra01BKfOzeS64trcRen06BuKsicFJFxaSb7CbrFN++prZGt8ZXPH
0GoPH7U3No7RP7f+LO4nbAN72cjwHIuJVk97G1nbzrryhuYCsrVH3G3HUCWtL13YfjehFx+IosXW
nYJHlarNtonmVLb0nYeb8q7mu0QzOQI8yTHRNKT7rfKAQixC47uagiqgwi62vs5AovbGwUq9cJuC
AV35ffLNKm2NUXfha3dlOhxkG2KNrWbglE4WobIurZvQJlVX9yX/BuDx4OFvXlU8/ZzkWEeBkvEs
NPkzS7ZV4/jo1ZyRw5xhhIr5HtqHrgE1iFLto8sdqD0RFirVDe5qCNN75bZrNtZXg2ESWSwh8JOL
gro+JoWp6QGn9HW8bmLJHMQ3Fhn2Q9A0hyo2/aNbz7fNmE0bRwYvNJJfVaOua5bxWNHiEwqnW4Bt
j9FARtOIlXfAFN9U4mj2wcVtAXyThC5xWwuPDk29pmN+wlj+ptMOXUlgfNeRT9BoR+RtPry7ZfBZ
lV59tASlcFoCuywlL8uQE+HnxFF8TsgfY2zQJoDV1K0/pc/0wgX2We6/vHT1FqHpuC1UCTOxbV/k
0L75UpMebKttFuGpmKKEAUlePyvO6F1h0oxpX0ab1tSPirc+z+3BWScDafAQ4xjWMsBeR6K/rVr8
IaY3wuuZEQBW3SsSxW8Q38UudKxvFSl+O8RFC33AZpLvsx8ovWEntROu57qNeHpcv71JiWWC5MT3
a7GjroRzNIgm20dIdNeOr/giKP/7hIFXZO0XZ5mZBiAFtlbaomSX7XekhpLfdirWfPerdVVm+Q7Q
NRiFkCl0ExCInPAdCTXA2EHF8ya0SCHIEbBgN9xHA7KS2Nc3zhAebLfE3FjeyMw/Gkay6+0jvX04
XgJ+Ziu6h4oVxVpOHjEv8sULihucRBD5nXTahKneZ3BTzTr5bMvu1ctjptgaea1KK1D02AfWCuzd
qkvLncqqCxvUfYsjpo36Y1ZH566AW2/Z7TpB/2LnwwGMPuUV1RYWb31T5PZ88s38LW6Ta1cSVCnN
0TumtXe2g+I66ap9bjhMXdoJw1GWAVaQ9KJRbPkA6K3k2KfJ2e4TbG7VW25pLDljiwXACp+E5770
TXtjF5nYx6iHNzq15NqNAdQ3ZUfWW+Qx6eq7fSRQfkF30Wto5PejDF8ALpTAqXCTg6fl6OFxUZFr
omtyQM3ZMZybz7p0xNae82UGZx8Qz87rmChg7OBZvh66+MUOnbtuxFLiJP1ERmMrNtnQyENWm99d
EK4iSc5JHLPNyGno85LE8CJ5m6XzGIa8702ocLV3mDwRQN2jMCQzEohT5JR3toFwy5p9LuV+3y0S
mrr0Q3yFw13DdCUs7cchbild4G547IswOSJG8Yq7vC7JhU6MUzzmT4nblRuz0yc5+dthSTlmvOqu
05q4J1mSUJdj/dnMZnxBR2TgElIa703+PZrDR0iQDCMsCh0nQXWm4/RbUxGMqohkNf1x3tCMkPCE
X/RqjDD9dH6180ZyI+Z6vpsYGW5h7DMQDKIHza6itxFThdVVEBTDTlT/y9557DaynWv7VgzPS6gc
Bj7AYRSVY7e6JwUqVc65rv5/lsLeCuy2+1AD/oBpwIabVLG4aoUvvKE8oNeKnonieyQJyUDbw2ym
sUnrhp7QTUIMgvjWGhuiALyx30xtWpRmk1yrRns0okI8wXd0rrf6ogSShZ7HYZCXRLpuvT8yifDd
NIMJadIS0uvdqOTHhsee3Qs1DEKtQikfamQh655MpPfmVsDqrAbEmDTlRwYaDrxZNOkpzLkRjkk1
u6lXL/SWSQC8ip07pwsY2zMjAkfdD9YVDcLjUTceopqNMtDMDAl8AUGDMlkDFFG0DqPCyjktndFb
qnr3LWbegg+kR2l1pT9tVWnCQjunW9MSU47ADgdvzdlZzrPAbyaST1UA/CtsZZuioGRRjimr8iaI
lEsjbWKYes61YtU/wogwEdYVNQK8pBDHzxV2ENhhqn1L2tMvS6dccH+38JaySWpn95WLwpgTKkSp
vjaeIFRs4HpfnHHmAQbkvS73D2sH6DaJwlTLpQyhiObeFbBv2SruNcRowtBBhVxyKepg56IA85ro
3uAvYGG3ICprfeKGiH+wyoqpaxsnPlC2WZ4HKcU5eIyNtz8guja32CclVBg6Kb0cstEHRRr+xPjl
zsBOieQ2WcIJXxJH8Azc9lKBTEQhtrAORsla5bVQqUipoZMYWZTlR3SRJaU6pWg/84bkMZKjbIoI
xmlv0V2DonokY2mAomf+CKHUo3Hg/OiEaoxUJJR4UnMd+cCbcgA3Mjii8xK9ZHbzynGP9dZf+oFu
4LdChXoFwsgpTrI4znxzUgYyyRekyHacy4pT+M/yaf/tdxkEsL+Jo8sAJ4Hhc69L/NlfgTQUHYQS
FCwDRBFGoKTfBNJPyCVDgTcDtOmlOqMTeov2lqUA1NEIuQiwXxtdzh7/joAkgjI0qVDL/JMomjju
UxTNlg8YXXX4H0BUfNPbKBqF7t4siio5S8E568eV2rAjDU1AaYDWaqc6ACtbyg+s2TsaEj9HsQJ6
lgKEUlob1u3Qdv48Z7GUNIQKsXqAeMfosVgnslhZklhjcHRYbWLdGWIFqmItIml+IonViZRMDXYx
O62G+l4SK9hwuntdrGkfRkQjVnlmB4e9WPeaEx5LbASlnBmzTOwNfg2Qshb7hTWUqL4AriXmvG0x
rx6TaFjKbDISm42PJRMiNt6+ZdUnKU2RSSS2JaPofnREpXE9xNOQnUsz6huPUtsSVqq9hKxqnnq4
oGM3g28SKm/lXGEXJKvNlpSXEEFhhwwQtct0ghd/VC8BNxQTHGPPe1U+SGTjQa+TpVZ260qHwasO
0bTEwbEHC4ATE5929hO5vGngsWQ9HXWMoW6yyrxxwlutozCua3eV49yVanVajsF3I+vvIhhXM3Tv
RjqB5pnEzQK+6PYTP4CwWEPJHqXGW9DNuqwC7QQE8clIk2wayuC8BzUG4FvYySpUqmJiKEgPUKI5
kwwULLD7Q31R8tFj7pXD0De9ZSg15qLw0EKHOT63q/7arDAh71B7xInlwM6AYsvEbvmgo44YFUgm
5qm6HOpuCUobImLQEBFjvrqMLL+chTIOgGbr9nOjUfGYZKuaWoOKxHv3zbUtZHubM1NuAByl6HVJ
TrEscbuBVkA5LIIoBaVp0tcd9NtuBI0nl6tEwhqxVCV3CUTQnXZ4LMgWgjY8Cj4JeVsqL9DyOes8
eeWFVj811RCMKPKTtb7vKMAvo9G8rmHMyon3rcrqBzJfiYqfmiHEiYxIWzj+wm7GG5jX+cxTMUGy
8u9S02AAWHXXEns17U0cxUZw/3OtjS4HScVYQcVQR1Gyx4S4FJvM/FgfnNNIRxOpHnoYYlkHPL/t
5r0NLMbqEIGWwtLGESDAkAGfn65G8CLSyn5du3k4kyscZLQSQwktCr83ONPEwbVWC1aAE1hz1tpM
11tiktqqlylmTROjQ+O+V1R3quFsgB/SsQ4pe5aEgTYbJekcWoY/H9ICCLJKzJvCsKW+irII8vLT
3htXRPnrCO9lMdcude1AGjivKIJKXnmRWdUc8YVwRiQ5tzGlQC/uEWYLnVFLfyxH+YdTOfgMxSc5
rlgqUjMT0B7+3IQZTUkKHn5TrWN9TBANXaFTDQDWEQoO8BqYeyGRtz4t7eFRrcqfntQcdll9HufS
MTzqaIEN72yMAOI69DAVGV9oI+3USYjjDiVeH1+uun7MpYQsuu9U3JasdVCUP1H+xS8RhYKJmhGy
oyVuHtQN3PbKkGza8zTkORsn5kAY1MbmXa3Y1FRhV83YkA8rqezpfDYgpsf2ANJ2O1VL78L0+3UI
1Y7SW0Svuqhi3CdpFFV6sW8mIGT8YBR42csaSRdB95vHvd/NEBnDDiE1ShZdxpKwTZyWgnCe9S6H
NhZleuP2U0vyLl1XP81y59Jx9X2tH2yCZAfz0iFGhSM/8ZDhXcAMjm+QWQrw6QAHJlsq/SGxsI3w
O0LwsNXaDhkcB/Mt6hK3fZqZk0YPoEmnB2zoF4OetfsFPXp0qprznJgS8qAxa2FaLGHYo0FbafrE
MPGnt9MD+A/6NCpihPja88DQoQKSILgBBqlWVirz1Iv527a9NLA22x/T5pbOOETwvHQnaqr6UzMs
YGaM0qOjE7fXfhksbUc6T4fs1tRY20VsoS6SCOc4aNbQOsYU8K1DbSErbtBnd6e1DSo6GdCo0NCk
nfgQlGYZe7aRp/IihC65iAUo3gm+w7BDFcNNF/hUIRzCI59w3JXTTgMJXvfAtVArYkyRSViRHyBm
rqNYixgai8aAK6m31/4QnXecidM6hC8ZGND7DctATAQOy6SxqWo2If9mx8LDVhrRYtPDY0RvM+AF
WNB5cgfdJTKvDZR30VW7NzLjDGebh54e4wTcI3QAmI1dCWvIbNIjAMIFtj7jMec/eu5Wug/Ba1XH
eTnVB7UBly1nN8CY4lU1FteaysKPU+27hCIcqpj3XREvHDe85rCXD9G0IcW0nVUFttgKiivsJPY1
CS9OHCl6xPqANAx6t+8a2kRwtZAI0pELI+KfqZZ1F/QZEgZQrKZFlo+LIbMvFDcp5gbZLGDEPp3n
OWr5bdy4K7kc1qbEZKj9Vl1EkY0tFomu7UoHgeetS6CjHlQawFc5qnsZf2/lZ1kESAtVJG8Oi+ou
x3RlgSzdD12mtBUW5pncmN8yrM3dPO73R097DGWqFVqL4YaqlhCE+xRjNQtGSW1ilCxnA9MvxIdV
CQZnAiHmh1m1J2BYgjkgRKxWJXZtf6CGDrOhIxQP13KqHqOR5k/rwA2J3PPDoMVnTK/L5TAinNdo
wthUjvZDGqFTDNw470SlvVDddJohMDA3Hfve95AKwtysXAAgkdEjaNsZYkHUDkaxq5rfEySg6XEg
3J8U0pVfdtcUU0h2AmeadTEtEFhkXmPjKFZlBd6A/mVtIh/oxvWq8ZpqmsjOtZ42Z16M0xCgAcpQ
uYSsn8l60tp60XtSjNJEupKInFiQoYw2TXWbe4nwj2TZ45dAixdEptxRMQoeOpo0Um4+mrJ0JWk2
h0BCXx3a2qMl+vVqrN61Q3nocJJPBsu4q1priV8BlkWecuCmWgrwqMUH04y+e0mC9FxfqlO7Maeh
lEAwuZVtchkHEoStS9lEacKDXEhs5k2ID3qA4QhUtwlt8R8eFgmoOYZXCsnMBFDuhZWA9VQxJdGd
7nsvlHVNf4SRkmfpvKg1bwqcAuRFVPBzdHgedgdrLsv0Q7ugamcP9M+sAuPlrns0Vep3zJl+7kXa
Qm6bm7xl6fqlco7HGl7Fg3asmQHlOAMxI1Aml2bAMzIsqBKZ37NPl+lxr5eo2Jk69cj6LkyGaorB
zfeix2E3aeTrMQ4O+iG+om2YzDrIPJkl37Yt1kd2h7aRUyPBiSbbUV6Vi1Tu7Yk8oLoI9Ctj1oYP
DrGx32JoR5fyYUzKg9Gh2umV40pV0xvkLma1FV7nLY27iijPitj6EB5BE9TpLJBmATfZWEu5Lx9N
n5DOynqsJ4j5WlhfQRzeNFa6cl13hhbfmibjbVg3p7peHODdpMy8pF+gTMlJqWETXFgXva/MewNi
s1tkl5QH9mmRrRwDV145PKvp7A+BgqiQRm/IFS6q7RGw3lUT5NPYkFt0+0IFdQnPUqPzOB3NmwEN
T/ukkLArO4+NGpbMIOALRi79l2jwbL1g0Nr4TQ7aALd82JCCCpXidVX/65+SgiMM5BhKMQg0kDeK
rsxrCgqLmd48BGbDgX/yTs3P3CMgEsmmIcs0UsBU/pWFGntCawLNdGgLSAEC7fyDXo5qCwzA214O
X+woOmad/Dd8almwfN5g8qH/ygXc++YEK1UKYlDJkOv1SdBqayK3UFXLGBIZajxD5h4Hpd3NDKWr
pmXaniVVtrIcVyKGg8vitMWskoJDv+EEtuBaZYDlZTm6bwkSkaBsOVYkIL9upx5no6C6yaY3Tar8
FD0cCGb4zFf6DTpAIDJ9h9q7kN10pHER65IE7dWnK4wcqIVV4yTIw28ALn/mQ3bd+qRWWY2+jGua
38oCCbw+/V470nc3hXwLawho9HEb+Uf0sH9WmU3Y61hnpWZgJuvZ84QfBno5MJc0nQ8aJfuB3syA
64o2cllSxiLu4HB114Oal3Ov7ha6Dn5aDfHz1DsK8oih3Rc+kqV2bB5VdXzVkeJObazLjMi+yALn
HiDeGU10jAAKUhDZC+u523Undt4iOJHe4Z3+wy2QMs/SO8oZoKaj0ps3qH/tV0j3ebmzH6BsqIfe
z1iFJZnHdj7rcBamFJfddYpzDGahniUD4Phc1cbZgE/WgoJTOQUBfFRXSFHo7hGx4WykKkos0S3k
sjvwHGdfkCdx6HrE1vUB0fsrDb4xOrs3iTeig2pxkzwkRy7BJ3Q4GaoyyZraF+Y5DZhj3+kf49BB
Rwt0aSa78rQpw2qCCup33TMu9BpXQzuIrnRPfWxUs10Ngfhzgzge25ubRGr2q8ynwW2YxB5QQWnW
hTT84h+QNSJqFc2J6hsyQqpYx4McMSYyshZIIi1kC5k1uPHLovYz0lOooU3OUwMZ1k1Vw6QIQhW/
gKFr4qi4dCtCC6KnA8oS3qwMEUs2uvHCio1llxqLhqNsqo8I++GiC4m87pWJjYDYjKosVXALcXl7
ZBIPFc8wUXNv3pXjJbR2vjW1OXHbhSs3l6OtHQQdmD5LpbNXFa4382Kwa5CC7+qsv7EpaE0sM7+V
lawEYOxOy64H5ygH+2hL4Lsm+fsyLsAzyYINIMvZ0hzkpSJjCgA13tmv/W7AEc5+SMLiiMy1neRV
mM8pZaxMbxjQrGzTOYfKdVYYMDIARDIbkwlJyG0lBIvkUjEn+gg4ksqTeqinyMX1cPu8Vaw6vjaL
ou67akdlOy+lyg++MQxufarWFqQHMzC0hekmcnplkd9kM73OkbXETKPyp+QF1hlFqQChjgJ2pFb0
3o+gyedVzBSa6L7unuRVRYGEmr4NLkI2vH3fohPgF7Igihv9Ocx9HI6LQJv3Vqsh3GfH44wGXlWs
GkuG9l0EUBqnKD/E2LYOGqDwGPCq2RdLOdTUm6ijAXccp3nDPhP7yqw3rTvZw0+Q/uhQghfpqIIJ
m1rdKFAqUy3vSq6tuPqhuq3HCa2NKtxlOTHdn5ERII4nYzQo0QvukZ97OiX+W7LFuew3x+WP5na9
4bDkb14PS9SWwCjoLFyOtycqwV+HJW+hOYsbLJA6m7OPI/ZvQJ0J5tTguFT5yJOt0WvJ1kbTHzNl
h7eebGH/qGSLhsiHw5LvQM7JFEezY5ioQr0/LOO6rGXQoPJpHWY3NAyNpRlp0qEqNfAQbCVHMqgD
5p8i3N1HbrXIAJNO60o/KDMD+/GUykegO8ZRSad5otuRMNQ0l23XXMZ2nx+XozTNWxr5tX2ntLiO
qkmHvhHA2xEfYwc/YzTw5Bnkm2UjbGJSRzSLO/26wwVZD/z0qvA8dNrz/A5LLiDN+XWp6Dn5vBZM
TNyU4wFb5awiUyxwWu6F5bKHGHd6jmLKEgd6apGaeeianTOvO9mdJp3kYuRd0omLEaRz67XVeHdu
YkMyH1Lsw4a8WNmpg61PJl0AzY3PnBpmVWLCL4g1Tg13sKyZi2z+lJ4grAp3oDGtl2xa2n0VmMi3
FSd2HRCB+9FNoGpXdebkMylUH/KIpr87etclu1qA2FJjksImKNm5hXNPYJGCXPL3I6c/T+XwuIJ0
n6TeYTg6Vwry7ygpiHK0Kl/lFkJ/Iw+h9vN6GrvkjmptrIem6pHHr27sDtGGKgcZX3BwwGE4ow+n
zHw3OA8ccmQp6ezuYBggvCOT/SiDjpJBSdljcNgK2JQWVheNCTSrJwhHRJyEzAJlFQIwoBUbzyzK
ZYI+1xQ8MNWieIuvXbRvZ/iYBmllnzpqPixjqIsTlBBXcPcc8MHlg1q0CFOOlncuieLaGBg4V7do
zg/qY4yWEa0lExEnEM3OCQKA3jRNywiZCeQtagMJ2JTN8MDD/cCHNTKVY/sUAgRdf9OhzjdQHI1g
WFQKMU+pnuRZDkcM/sOkDnSKNQ1cEsWQlmFPoknO/9PM/W9RBOmibAAiqD5qzypUkwr3PhrZQDns
CkkxQIKKm90mCNs1iqYfUPU8V+z8EbnmeeODkoC8N00js5zKdamtTHzsczM56Gtjrnva6aBEp0QG
PfovpKFyFn6XO/faSHAspaWWTX3Jui5rz+C21SM3VyukSqjU0jAWeunyRTLUB3IXLIsovAgCb242
8Y9OLm9RL8vgzmEWMFCTsMuomUGMANEgp5R6GFxDlw7AouhLUxbkGmeIyLWtI7lQ7mx11GZVPXzP
NbWZtEq+yCtOvqwei9nQt6vIHeVpm8onXdzd+oz13NRyl0Z4UBAC5zdamh87WUWZMVuEPoU6Gx+B
WkamoxT13LgrIP5lGfJbzWFPFR/wTBxBUjXu68447gpwp4kdHhUuOX6QJ8hmqeoy9KufdlgcQsC/
VqLxmyJV59wfLVXdmDidgwsGgHZueOaNbTdzlOjYLog1mlG+qBzt51A7+amnQ1zCbbA/QGhXWqHv
SYWBQlobFZd6Iz34eXRhm6kxzRMqghNdc6uVa3GVsfSN/QTNw9JFKjvUkGZMEvU8lClj25puEqtV
yJxlVoR/M5N4oD4Het8C0YQGGnIG8QzOFN0Erz8PEVHCBkG+s0fojP89Z58hhvQKf52WfntI62YT
dl20GF+PWsXmPBWgcBqTiOq8bY0+5aVCDcHA4VR+Isa/HrX6HobVqoXwO6e0Sh76d16q7XHEqkjT
a4IEL976g7xUZJ1vs1Jc1UmXFYGgVwyHTvv7g7aXcacsy5SsVCRg6K55FeYGpG5vxuXs+YJvJSyU
J9mFD18EaFLXqewCkZf1D+mvEtdtYYZ6juK14VxHfgGmLbHiYdwH/Uh3S6vTRl8hJjJewhzBSNRU
cICx0aTPsxDLOG9wDhUryWm9lEZ/Rk3rQhsy1N/NwbOqwzYKK+1nS8Jkn3Vu0baLUMn0WYuH78TE
Tx1/rBiifZDnmTqnGNm0UyRtsEkNKpcCVDQ4cwNFOnlWpXdGrHcnFqr6p3oj5/FUyaN4WGRur03j
FkhIjAAXMJQu007lVjGiozYOT8saBZwkT3tKVmeaIj8YVX6fIrbrVvKVhTpJ2mlLQzIz9HD5FYCj
5w6AcSeZG32ycgfsUrQoCWZVqczioXj0bf+Ccu6JouaPjdZexoqHkjAswh9WBBvIgZZ3LFl5CfnM
MA/iADE/bETm48henUqS9qiHVbqvu/hepHWRz5GZIiaKJWOudjaGd85JlcLZA54CUARN8GWdWteD
It3EKq4nWejDm6lrTwXGD4WfaYGQMUWPgD6YuATEIIXT5brUa62fmXbqX1ReK80b1PqgE8j9jR4H
A6OoZhAXIkqqulQOs9AYLwqzhmZPQefk93NMFX38D1NMVw0ZwCRho6gCvZ/LxVASlSF9cIKw7ppD
R7mEtj+RJsW03k/3XYSjZt48WVpzlDcnxoG+0OZQ16b/1sxM6Dn8fR8okGiWRenIMQ1RVEKn9/19
GD1cc1xishMkyw+G2O+nkVe46LXrdEStyJkXrSvo/SaJI3bzx55VugcKz8iMimQ6WMOJ46LayXn4
s+4zZ1GpHJV1nS9ce/xpGS4Ogi4Rmjv234uYAEwti2FqVXAyAU6psO3pVBl+Px80Z9kpKbgDPF10
24WK4uyPGjBYDjZdN4jDcOGmSEPgkaT7NCZmmUZMksn5vOu8I9WF+RBh+DNrkWtKkhCqbFucdIC5
loUXEpNo3rVHHK5oyXHT2zJBQr6UIyaa5RR0OeTw8veP+D0eWmi7wKOW0dLQsU8lF/mwiTij2jl5
4pYncosHJBsBvOUSzWIp8OdGBjlELzwyo7929A07l6p9fJofvvPD05T61irbyKtOCk/7Ybh0jRsP
6F5l7etJA9feJcgzYQtbMC2MmKI3zcLhaCwbJIYk4ygL7Bs5oGTdVtIjOTEy1cWxmpnnsjveGV7x
M+mCYlbg/3z4dOP/zX2FT8pfT1CY3b2Y2AkHm3/98we08w25L3/zeiCT4LIuARwppKykszzw10Ix
SjXQAagFYw4usze9yX1JcOEJQBgTaa4gfP19IGNNR78LgWIUMvnQn8GVwPW/m3CQyUAdm3jMQFqz
VBj63MTbQnFddmEaq2F/mteUfHMbprpbXtVq4k9DlfLjqKTZVdAqMRWjJLmsGrfcl2Sl2W9GF9tV
WIoeCsP1pNC1EzSV5Tm1qZ5tJYTParbQdmRk74v21mm6/CobiJjpc/dnDlYDU8Jca+o0bnalV+1x
KVPjqVMc2DCaPk28AsX1LvUuIIely8ZQtbnXusqsUpRr0sV4P461ZhmyO2BittIG+8ormnLR62gG
mmwhp3HQJ1PCoJ+SbNKF7uxv6agG1wX2I8c+ee4CNXvI5hGHqMIQnAaK7S56uXb2iywDAdup5qRO
8P3ocsuZxZ5G4yYda1qO6DAjjjHR85BkvUmOGqD5kSP96Ih9cOtqsB2nw2n4ZJSNPo8sT56rXnsQ
lRLydfY3RvM4y4D7yzXHFV4yySSN/J9Gq697EyACxYbvXhF9L40U5IPvITTjBZe1TpCtxRIN+hRC
s+l5+9HISS+ZyYPm0TjrU/PARMYFKCqMB2zIw0UtGd7Cdzu0O43xBw8aCU4zv8wk90SPh1ty3X0N
AT5+iXbvDtWZVKXtUWTbSM/Uo0x13j7RRof0wx1PjIxHWuf9rBg68OXaraqV38cuupPcnF3c9w+i
uD81O0BsVi76xR6iI6jpr5BCMgBQwonqPOcUAEQ9VRMdToV5lPUJBGtLAzSm+D9ybzzXdRh4heVP
pH6UkM6J8NwCrjw17SKyTzEECLVb6kXGsLIogM8xIjuEXjYCslZKb4aiZjXxLeNBqoC0NAJrIg2L
J9Kc64QGOOr4ALvgcmLhn0Y/VDnSLHyC4hbIlSsrnNiGHSwHI0KyENtDeNiI3htGO23tEvyIFyE0
kOuAGfB0CBKUA7LQWVCzoGgdjQwy4d1KGqoCKZwI70MW+FRmpmpefhGnKWIQgb7qbQc3FRRUr1Lf
hdKlo8yUpf0EwyLiPMcEh+bST9blFLig+zAA5QoApK0iw7gqaxceRVpP0XiaUsw60SuUWxAyNGn3
NjKEbHMl2aV+atW0bAlO6mmuBOiAlvplG5GNurVxJCNGPXXgf09lyTgo4yY4UIbssNBjZVVk+H54
tYMI9E2luKdS5y260eoXtESWNe7XKHQn5bIawBSCO5zZRXzrx8bCznKWOsskzxGzVpPkZ466dW8h
cx1Jlj2LhfS13yGC7Qo5bGCzMOWolFEPdk/agnZ26JhzdXCwSktb5jkhAgoU/fmggKxAEIpexzDa
k0ZIcctFjS5/lenLwXMR6haS3XmRHkLAtOaDkPOuhLB3ESrSUs8Q+86K/NyUQESP6ICjJ3QDkEk7
U0PsDdj9opVE9W7qo4cg0fzxhKC4ibJ4YYXeY4XWuOOzjM8t9MfHUCiRp45QJf//5fx8OeI3+rj+
JfEi3j3LAIFdZZ/MXv+jD70mjZsv9Gtj2LeHK2r0JIzvDuOne3pypf3dJeI1MJ3mnvNas/Y4V6mF
KQ6+4byI2uMs9V7eJg1w9gDOkZ5yXj+93j7GzTf/2Q/3VyP1fx0EzmRyf2DRq/t//fO5gy1/LBX8
JyPBdd4MhYNgkINsIYYGTy/x7tuhEEJ6sk1gILJnRv3NRPm//cD/ZKB+/Rg3DIJGMPPH0+H9IKD7
94T5hvP4+rw/DoKOSp9hv2gT7t4giG7FdoMgKKbIGQjV9ecXMer7QZD3TN7W6c/s6EyQearbDYIG
akNRYZCT7T29yLPfDwKBPFsH8pHsGTu5HATIY8tBwMaELMXB+OQXg6DuUd+3DSqLuzoIH2naf74x
UkJ1UPFgSWweBM4ISi4WmpHPm/Du7QmisLrlTMCtlDqyymzfPAjktRBsFCrGz/vPrg2CeHZbD4K1
R6EcmBbFn6cX29/7PUHdQ8SV9P15+9m1MTBkbft90QbNxnpAS/cXY6Ds0TXgP+yd4rWzu+PzjT2b
cfwVyf2b2PF9sEDpRZRqaCx8nAcyO8KTFM9zWLmzY8DJvuW+YAsXY7YFgWIULzFC76JGYgWmCifp
bu4Lotr2BYMgtMVpZr0MwqeASd2jwQWgRMyU3YwVto8alT1LtD5UETCI16fNUSfB0DU2x53dHbeP
FSCPgk2i+PhyTH4aBHmPuBkYrrarSZTonW69J1jQcBmE54kgDt6PewLxJEgtIa7Oa1e3R3X7iMEW
jlPip77UFz7tDEDhBMAbevDza1f3h+f4fpvTErA7QHaDmvdfP/XdrBBhNH5ahq3s6tIQqP4tl4YG
TUDGfeJ54m+oN1l79G+BMVrPc2/3QkjhcrnlIJBa0+ZSEE7/uDGQTgKgRMlwV4+IT9DXP08nyaQo
r/DzfxUxUVhA2stGFmxHNwMh5r3dFKDEJKC/Okiij1NA3wNcA10GbNHTa1fHYPu9gKAQ4qshdv+n
18ezQTH2UG9nppBjiNeuHpP682Ld7mxAuA5+kmI+P/RPxTZqzwjR0Tjf1SxC+YpBQOyPnRGBx9ep
//6AFLmWY6JvsqvFtk+GPX++O1rCgYBWJYq5T69PATQlFhU/H4jru7ozPG/b2ywHgyDgqfT8Eibw
U9/PBOepLktF7jlY370oQd/6iNB00DAyLQZ6c5uXA6057FEFpvP1fQ6l3RsKZfvWnLnHk6awqL8s
io8JlehS8h7F2V2dDwLntF3IQKsW/SQgyfovWrWqvKfZ2HkhsrSrO8P2DRkWPvGCBY34KST4XG5T
oUIZCsLju3pQCmDsdjNBBI+sBxRAXhb+hjPCoXHHxrCrZ8RL9WebM+KppGgZRJAfDwcM6lAUBin4
slvs6mp43qu2GQMd9X1V1QB9P58An4bC3sPniCI9K2aXI2jxDLdbE5pGMkGZyTZ/1aSkd2VoxM87
m0a8tJC3mQ/mHr0IigfWC4TlY9zEESGbtK4A8+zqoti+usI5KdwgaPZtXhTgeNCnEIHVrqYR6vbB
41MawTywXzAsH2cCEZNjoq5Ox2ang8eXXsk2i4KKomyiimm+FFQ+bpIsCh3VNfbI3W7YvuBsthkK
UXrjcSP7+Rw9fZwVKuw2CB4Igu5qHC3MVrc8KSiwAeMjPHgJIT+VncBEEj7RttjRPfIlvt9iIiD/
ShYhxHBeIshPVUh5z4DNpTvKruYSL+30LQZBIzgCsGMLKudrdPSuyiAAn1BD6ZDvai4hSHhbrgYx
CEJl6WVz/NS15qCg3kQT76XvsXv1BSFrvOUgmHtYRD9Rep9nwsctQYC7gC/AetvVvozoI2w5CMwE
EBw6RZRfDAKVR0CvMjHFrm6M22dUzHYE+zB2eYmgN8wE9JKxuN/ZQvwngt6f16ABfFoU4XnUH1Jr
1gFvWCjC7GphQXD/t1wHwHTw5tXkX2F+xY7o0LMy5V3NH7TnQ3ubsxG3Y4PTkWTyOT34WHFlJmC2
J9PC3NWzUdt+MyCTJI/UsSj8xY6Ix7RDVdpxnneLXV0UGGFtuygMFgUS2mC3nofiU+YAzJFmDWyA
XY2aX/pl2ywKMklqaZSef5VJKnv0JhVOh11F8Ohb7wwUn8H5U19FUeXpRTDwMWqm+Ip9xEtIsnsB
o779crDoN8nAdMxftSGEwpsovUJHF0tvBwdh+4MSGBNKdQBVnusm8qdYSd7jTVqYpFDitavb48tq
3WJnIJ8G20dg/EqM+HRcqsgQAWah+rqj8+GTneMfh43sDCB1TDoSv2hYk08DgydiUJ7P012dD5/U
kP94KDQa1hoKUuB1nma+mPrvNsmnGFKcFS994f9of/gPPvQX93jqB/H9EzUZ+7onUscz2/TffuCV
k/v5Am84t0/M43efvBryh+drPzNzxf//n/V9EqSzoKrL4K5WnzbBN+++bopP3/Ty9y8/8fOXv/uy
19/1+o/7mFivyzvE9Z5YwS83+qxI8r8xwiT364+MYVEGff038d3/+uf7m30TMP3+6vgNPbxe6A0d
mQr+3z/1/3rxZH2fla8XenNxZtPWF580db3pxjnOt772dB2vWx5J9XqtN/fO/rf99dGyrz49Ug4Z
zrQvuHhal+t/TLOq3vQVRHZbf8XsIf7HSVZuHH/Sqa2vP4//MctKJs/rtd6MP1nR1tdflFhibro4
wc7WF1/GD2n6ep03N/4Vy3W/SW6z+L7+fHkB6d361ldJ/lAG6/j1Un/fvfIVS3aFPc2GS3/Fij18
KDeMuSj+bz0oh0HqbdgIBCps62sfraMNe5jgT3zBpavqYdOYfMUCPcqqf/xv6j3ED5tG5iuW6PH6
ng34dRzeTMSvWKLHa1wJN1z7K5aouHaebdrdRVd868d6/JDeZ3fBpt1L9Fe/4Prl3cP964X+HnfR
x97+4hn3/nqdN9f+imV6nG0ck69YpVy6figfhg13/hUr9WSdb5joovqw9YCfPLTrz7GjgSX9F1z8
tFyzBbxe6M3j/Iolehav7x42xI6iPLf1sJzFTbIpuNO+YoVeBISOVXC/YWQE/2zrm79c35WkBGm9
4SwV8gBf8AXpPyYPmFxs+oKvWKqXa/EFZbou7zduZAIj8SW/YhY8eJt+xFesWvEjFqyAu6C62/Qd
X7F8xXccZOui2XRaif7Al4zSURNU/zi9Dap80+/4isUsfsfxun7YdP2vWM9cHx3Pybq8XW+KGQSX
4StGiu+Y4iS1YbMWtfmv+oayGV8v9veeKiha23+Bj9nVprv/kkVNDWPj0HzJYg6qCAfh5nUQ3gzM
l6zlLF5vih5Eb3D7UScwSTaN+pes33qNCGW8bqrXO30zNF+ydEWZZcM5LBSJth6aqwd/vWloRC13
+4v/1nn8qdC2ReHs6neecttfnAJRsqkuJ8qtW4/M740Htr3530gob33pXzsT/f7Sm8qyfzW1Phdr
X4UNN/3Z+1q0+MRd/LAu/+f/AQAA//8=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ptos Narrow" panose="02110004020202020204"/>
            </a:rPr>
            <a:t>Where do our customers Live</a:t>
          </a:r>
        </a:p>
      </cx:txPr>
    </cx:title>
    <cx:plotArea>
      <cx:plotAreaRegion>
        <cx:series layoutId="regionMap" uniqueId="{F1CF277F-4587-455D-AEA9-AC09B04714F9}">
          <cx:tx>
            <cx:txData>
              <cx:f>_xlchart.v5.10</cx:f>
              <cx:v>Qty</cx:v>
            </cx:txData>
          </cx:tx>
          <cx:spPr>
            <a:ln>
              <a:solidFill>
                <a:schemeClr val="tx1">
                  <a:lumMod val="95000"/>
                  <a:lumOff val="5000"/>
                </a:schemeClr>
              </a:solidFill>
            </a:ln>
          </cx:spPr>
          <cx:dataId val="0"/>
          <cx:layoutPr>
            <cx:regionLabelLayout val="none"/>
            <cx:geography cultureLanguage="en-US" cultureRegion="IN" attribution="Powered by Bing">
              <cx:geoCache provider="{E9337A44-BEBE-4D9F-B70C-5C5E7DAFC167}">
                <cx:binary>7H1pb9vI0u5fCfL50tMbm82DMweYJrVZ3u0kdr4QiuOQza25b7/+lmwnJ6LkeWVghItXuJoBApuq
dpEPu5anqrv//dj96zF+WhUfuiROy389dn9+DKoq+9cff5SPwVOyKk8S9VjoUv+oTh518of+8UM9
Pv3xvVi1KvX/IAizPx6DVVE9dR//828YzX/SZ/pxVSmdXtdPRX/zVNZxVf7NtZ2XPqy+Jyp1VVkV
6rHCf350VrH6oYtUrT5uXiN/fnzQsf7g6Dqt+o8fntJKVf1dnz39+XFjEPLxwx/jv7Wl14cYVK/q
7yBMxQm3LGYzZH78EOvUf/29gQk+gQsWxhz//HsXqwRE9lXkWY3V9+/FU1nC3Tz/O5LeUB1u/6//
4bYf17e/ftw+PPk/P35KVfX0/cNttaqeyo8fVKmfn0/RO3p9b59unx/GH5uA/effo1/A4xn95jdM
x8/yf7q0Cdv/AOltXVVPxQFAtU8wJYQAhvbzR2xjy4mJGbP5Jrb7a7Qb3ZH8HviOJI4N4dVjAZMm
rQ4zdU2L25QJ9IKytY0yTGz4jzK0/ozm8e27dHsD7+0x9sF8W+rIcHef4g8XGhzGPz+5Gdhlk1kW
weIN2NkJQYxanIAzeHEUL4b7XUrtxnt7iD3g3hY6MrT/imGOf1/981hT60QgJojg9A2syQmxCAOs
N6F+h0a7gR4PsAfMY5EjA9nREHqsMS6rQyAtTtB6QlNqvSC95bIJ+HQmTAvDld9n9Xv12o33zlH2
AH2n3JEhf7tKP5xDiHkIH26dMAHG3Kbm2xOcCAxefMt7v0Op3Zhv39cegG8LHSHaZ7UqP1x+U2V2
CMzNEyIIxzYEbj/jss3MC51wDuEaJvbmVF8/+3eq9jbyuwbaE/9dokf2FiyfivQA/tw8oRZE4yYD
fNcfmNQb0GP72Q1A9gbB/O9Wfl99duO9Ib0HyBvfPzJk/4ozlR4gLl8zKWDGOTbZbg8O2FrwMU2L
bWK7v0a70R3J74HvSOLIEAYWbdU8FavyABNYnGCbA7FiWS8TGOLujQlMwHZDPk4oGzEr71JqN87b
Q+wB9bbQkaEt1yTaAZC2T0wMMIKt3j2dgR81wY6Dlx5FZnsrtBvlTfE9EN4UODJ0z1eFynR5iIzr
OfQmlinIy1Te4YttzixBrFd+bdNqv0ez3UhvjbAH2FsyR4b3X8nquz4EJS5OKNAkiAhwvmOLDWQa
sSmyn9+D0WzeX6HdII/k94B4JHFkADs6rg8ynW1gPcHvQvz1hmcmJwgJym0Gla7fQ+v9NdqN8Eh+
D4RHEkeG8PlT8QhVOecfL1VaJxRxmwv+SnxvUWQIyBRsW9jaWe/YX6/dOI/k98B5JHFkOE/iD64u
wFwfAGpxYhGbm+SV9raBCNky2raNgQ99SaRHRvtdqu1Ge3uIPQDfFjoyzKdQzE8PATg/sSjmpolf
K9ZjwNfJszDhPzyy3vtrtBvnkfweII8kjgzhWfyUHoL5gnSKIBPbBPLizakMhQ1bYIuaoxrW3prs
BnZTfA9cNwWODNZbnerkEFmUOGHU5rYFWdLzh27Da2GTMyhzbIZd+2u0G9+R/B4AjySODOF5nXzT
8ffqn/fGDIHt5dAttD132Qm0h1EEFeoXkmQT4veotBvkrRH2gHlL5siA/gzJS/1cia7/4V5AaBwR
kCKht2rQ4IQhT8aIo1EN+h0q7cZ5PMAeMI9Fjgzlda3vVK/yWh3CG1sntgldRIS9cl9bVhsD0gT6
A+2XbHoUX79Tud2Y7xpkD9x3iR0Z9uf6u348gB3HJ8xGtmlj/mKtt0IxdALvBBDeGN6H3ymSvRXa
jfSm+B4YbwocGbpL6Ck/RGmKn0DVGJrB2GsryY4UisM1qFeMa8v7KrQb3c372QPdTYEjQ3eRZE+F
WsX//PSl5MSyiTAZeOCdoTY2T0xIoU0MPPf6MzLa79FsN9JbI+wB9pbMseGd9ofhQwQikDHD0oyf
kfVG1ozXhWibcyFGodhiT33eQPh36X3Q/f37R4bsbbA6SKsnpFPQAsKpoG/1EJATKjAS0CS26Yb3
12g3uiP5PfAdSRwZwher7DCUCAE+hIGjfTbDaCu4hqZtsV5xJUaM17767EZ3Q3oPbDe+f2TInq2i
w/SEwMIKDP0A9AXZre4fcmJjE3NhjWbuvvrsRnZDeg9kN75/ZMje1VBATg7SwAdJsSA2g6z3BV2I
nzZ8LvR2UUEwFmSUHr1Hp90Ib42wB8pbMkeG9MVTszrIohpgsTixgOd67RTYss8YmnChTWBrdeT+
Gu1GeSS/B8YjiSND+GxVlk8HoLcgwmLQhivsV3Zr2wNDlyZcZoKPUuH9NdqN8Eh+D4RHEseGsC4/
/JX6T/HTIRgPdoJMQqj4yXiMG0IgSSKMQt8XuOz1Z5QQn71PuTcQ3zHIPrDvEDsy7IGoXa+UK+rh
AFwIP7Ethhn6SWWOoSfQ7UUELLDZWuH+Lq12Y77jzvaAfIfUkSF+vvoObfeHQZsTaBCwXj32jsgM
cVgdyfBoxdT+Gu1GeiS/B8ojiaNDuDhUPcpiUJFCrw1fO6azSTG4a3tEd637ofeKIN7C93fxveD9
XeDI0H2xUHJVfFsdZBqzE6g3rkF8u8mL24IyDF26z58R/fVsut+h3m7Md9/lHtjvFjyyd+AqXj0e
ZE8acSJsQB7C7pfselfWZa1rG+QX4/17CXJ/vXajPpLfA+6RxJHhfP6UQpFZHaSZE7YfWpctLOuV
AN1y1xR69S1OqT1Kv96l1G6ct4fYA+ptoSND+1bHq4NADRkW7CMlLOuVEd2CGuJwZgsTjddD7q/R
bpxH8nuAPJI4NoTVU3EQpw2NuxwB7yleFlXs4lLgIrh1AHlHkn27t15v4Lwpvw/OmxJHhvM5NPIe
IMNaz2MTujxf+zjXhnmD+163/kE+bUPtYzMo21ef3ehuSO+B7cb3jwzZuzpeFYeoWkFjEEUYuNA3
6hrPbZ3QSIDNrbrGvhrtRnd0R3vgO5I4MoRvFGxLUKrvhwCZQvEKmZS+biyyvbMIrJ6DTQug+Ws0
gd+l1G6ct4fYA+ptoSNDG2wV7O751B/AWnPYtBW2baXorUUX+ITDmgtOx/vCvUen3VhvjbAH1Fsy
R4b0rSoj1ev6n0d6vdkjxdAo8nMDwHFTJ/DcHDadMYH+3PTL79FpN9JbI+yB9JbMkSF9WaygmvXP
40wp9HZCHiX4G7uNYNgJ0oQtCvi4iLW/RrtRHsnvgfFI4sgQfq3SQOBziEIGOGEoR0L70FtL2PHJ
OhCD3oPRMtd3qrUb612D7AH4LrEjQ/0KeooOsl+UfWJTbsFC9lfKe5xXQU8RtCHAmgw6Anx/jXZj
PZLfA+aRxJEhfAd1G9gy/5833evVkbDwAopXr0WLLYihKRCaPaGoMeo/eIdKuzEeD7AHyGORI0MZ
TNUH+QRAH4Ij4eCCge2EQvSvCsUGRwI7gjFEEKyUHXV/vk+r3VjvGGMPuHdIHSXiRboqvh+mmAFL
nGFNLBbAoTx/xnUriMygaRRBbWsUgD+/iu9R7O+A3xpnb/C3JI/wBXDVk3+IGQ8rrjAYdlh1NaZD
LVj4Dos0xE9bsI393jq9DfvmEHsivil0hGBPIQd7VOWj/vnM/4ljcCzY4gAhC4LvN2w7WfcuQCZO
d0zzXxrtE128Dff2MHtCvi34vwD2v1dx487Xx+j89Tdov/fMI7DYsHMnhzaUF5M+LloCIc4x7GiC
oZ/s+fPzb7+cowFbqv46pemlRWHHG/hyUNTW8Ue/y27c48st/v1D+d93wFG1SlUZr+pDdP9a0MON
YNsg/tZiHGjjR+v+X2vUMwbnRb1Dqzfm6/YYO+Dc+BWc4bXjLx8Z4ndPweoQ+wxBlgXLmjn0e7/R
OwZEKOzWC6H3utAFn3Gutbdeu/Ee3dcGsLsPLhtJHBnOD/W3Q/Bj684hDCvYoc78/NlaYAebLsPi
OgGljU2bvK8+u9HdkN4D243v/79A9u0D634d9ueuqtXk+ZjA386s+/urzw8HzjYcib5uBbLDyf1a
v7r4/udHaPai0AICPNavEwjXA21sJOL8dojOTwA3ZZ9g0fWfH5+PHzTXnaDUxhiOQxAwn9un10sQ
i8FbArt8wgJ4CzYf+/ghhbO2gufTDDGCk+9sWBZiwfKuteUvdf18CSI8LEyI5fmairGgU/zn7V7p
uPd1+uvZvP78Ia2TK63SqvzzI0Fwq9nL99b6msi0bOt5s1EBW5LCPtGgX/a4ullvpQGP4v/YiTXY
aWM2l3GjSOA5Ra7RadxhdpoOOgydkCef+tAn0uqMM5ES6oZm0sg25G6QGkjiKrzr/GoZie62Qd1Z
7+FQZgG3Zd2KQQ5qOLVV9blN+gsroQtTcUljT8tclJdZ153yrOZOl+QLNcStTMpStp5vS8+yu1lB
6Q8q/MppyzyVSEW9kylKJkVk5HIQbFqHoXBYjGppl8FDz71AljHrJ3bVJy4qsjvG61qy2iCOGfkO
zQbk9G0lmZ83TpF6X2IbuxXhvVOUpWuq9huvIxl6eeLC7hSPeWgpp+HqnuddKaGUuaCdcOpcWdLQ
5J77bCasbHC8lk4DURiSlsmc8MZ0Gy3mZZckbs+aQqqm+9Zr71tSdZdIB7k0o+pBIVs5CYtmUdQt
ROCnU9y1hVs0hpbCz777iJluh9P7TJuhpEFDXa+unrhHhosy6lcqM71lbSrLKUySyMDnEyMV+IaU
VuEy7QWOguPXpC47e9a20RKbefMg7Kagsoa3cKrDxhmYpSbMs/Q07ilyYrMbJiIIkPTtQcuapOV5
j0TnRklTTIVWmevFRu9U8DbLooyCiaF0MemR8iYpKtVSIR3PhN1Wt8Rshs/t0ASuRrEnozJG5z1P
rOnQRtGDLhpyqiyL3zdlktyUBc6vAk7UQuCiO8ttj7pNH+tTwvOilgZj4ZnXppk3MXR3VhdDTOSQ
IO9bJ5Qh3NY08kVK0HWkbTwJgjb7hHp48DMP6pFfjdD2fzAR15PEJkS2VV9PIiGcPiG5LMOsls1Q
wXtTqCUuyXnVD/DU20ne+mdlmj+gsrQdI68viiBt555XdVMLNZ2sqbanlhk0knXZBatINc0T5IRW
UU1ybC89j/syihWRKR2oyxs7dQcWYVdjoVwr6dFU1zTIJkTdWjTNZljx6FzbQiyj2m8+24kQCw5r
iGVgIG9miHRwSqP40RHPmCdZ6HaiV6e/Hxy6YR4eddYXyg9eD3v99eN/7nQC/z+fJPrfX67Piv3v
T7MnvU4gyvGX1sb817f+exrp2nj+Opp0ZJJfDpz9acDec/FdxpyBl33bmL9sDrFtxtdSv5lxKH1w
WDNNTODIODCjv8w4PUGwUt6GHafgjDvoIfxlxqHqjWFRnwnlUOg6hP35YcBXMw5xIGyBA+sDBHQ/
MBA332PGoYI6NuMMdoUXsECQm0Diw4rRTTMOBzUhmsV5fIViK5Qmq0uJWfu5sbg/q3LjMgtQIctB
nUcx6WTRi3ne+9lEDLh0m0486VqdQ3XnjkVp7KQ4F25P7UyW/iC1oHOYPlNeeZOkw/O2hX8TI5Kt
kbiU4ofSrByu2kDSLpiUXb4KrPC8r+onKwwmrU0nleGHssfZed6xR0iGZn5vKzCWOnIMldTzMCvm
hW0vy9CfaGJOBxJODFoEEpvNGSf6k9U2Fy0JaqcvmJoFA1nFBZpCAH0foMacWp5XO1me9LMCx75j
myKQjJenZlc1U+Fly4oYc5uGkygIb72mypyO0nbSZN11ipkvS5FNW56geQLKLSnssu8Moh1cI8Wp
NBLr0qbxd6KCbNYTM5LKj6g0eu+uiPWPOKs7F6WtIdMyPI9Yp13lk2iSNlnsBJllOlane2n1YhIZ
/WlgVqnrt/GnyiyM0yRP3Vro66AAp5AK+xQ3hi8tszq3U3KXB/WMVN216pQxqQejl33SztAgfmCj
a6VB0usuSBMJdbmHMMQ3fZkZMve05dQxTZye07shUQ9RmrttnFCpRGRJqtQZ0AXLMEc/ynLg83Do
mEtU3U+CEkwW9ug1BCJfghD093seycHXg8MzNq+5zmSWUjZJyvpJh9HCKGO39QvJVKlkX2HuIAV/
B4G37D07lToN7r0+uekK1jlaZKkcaD3zfSuSOewJKaveNt02BLmYVraLk4jNEl1fai2+mNgD3Mta
RrjLJUqyB1yrsypUZ4Wy1cLwsXBMXimXkXQA/98TJzFoJcMqm3lUX6SBfZYr01rERplKv1QXKNQP
eZiraR5HiaxV4XYsdXgLirbNEEkcN/McoytCSicz22QeYW9Z+PWiTLNPtdHMdJmeB1pPGe9sKRJV
On7Z2BPG20LyOECuQM39kKunsiGOEXazVmW9G6Z5LFOuL1EPd9VbVzpvKyeym1sRxdMKnebDRdWc
e4aa9she+F16ic30ijTePDaHS6PmNnjDZkbiClx3XTi1DgaXDEUseRjH8IIqz+FG4Mnc5vDIYdA0
MTNHcJI4Lau5m6DmRxB1kdsl1JqQbD1Vo/JbBzFcq8UPK+zqhTby0PFq257h1FwEODfdwWNJIUlP
lRQphGOG0fkTs6Oeo62gndqGoNMiI9LvgupUe1E4TRr2vTYrCMyC6LumzX0+1I+D1YYTXcaJ9Gl7
1ddh5oSKN05f8WoC5qihjlmnpFgSP66WYHtyNxSZJVWX5+A9k2phpknIp7TOuPmpQeC8ZwEr8Kxm
fQZzKU+x7KyugNCl9js8EanBOpk3sOB6Dvvs95ksqDmoCyNN+vrWRgmublu7MOiy7mq9bM00Du6L
gZHmMqqyufYr7GRhH080i9hUKdOXORpWuPBvSo82ThV1p4yl9bQwim4mDL40rU65pmBM1jF/zLUu
ZVTxXCYhu48MLpygaUKJ0cBPqYaXOUpFJOHrSPam/pp5bBWEBXErESaSDvmPyg4ahwYaSZa2RCLU
RLKois7po+68z0q3U3Y4jTLjnKXFteHVy0Tor41qfwwGddquD2WJO4jiMjN2StqdBv3CRG0ibStb
qUjfcOW1siJmMIFiryWrqr1FJLzwSvvMCPuHOCA/BoxgFN/8ETXJ5xQp1xhOSd+FLjOLiecXN1EH
pgdBrNh1bhcv48A6R1GMXLvTq9YfFgGlhdMZHXdyNaQSXsYLbkWDy03bnyDDuIYldsRtLXNwVVef
D6hf2mbnOfAUsrmVQsBfalTNKGvAtrPMtWxlTYaih7nkGXdV5A6m/4UUpQFPMvTcwIhCV0R2C38c
YkY7sud0sLEzdLFwaat8pxWdvky6rJ1Yuj3LREWkEI0vfWxdqjY9r2MrcbrMu7RTJcuknPt1teJ2
209IE932sZFPhsSPJ54NDsQM609eXZdu3aZf4MT709CIQMd6uK9zO5jCrGPwDkAQbSJiOIWGg99t
+xMY6CnK4rMoCSpJfDqnof6UN2pmKKtzGh8t8pZeNSK7sU39TYGjk7AlwAVD1ZKZMO+alHkzb8CF
Y6Ji4RsNuISq9SUx7VAGUbSwzV7Ixk+dUJB8VkJG4yhWXkaqvoJIZJqS6nOT4HkW5YHDagIvYM26
SYSSZgLHuuauHXnWzPDhqtWE2uVRM0sNA884CcSiggfqlEF8ibIylMKqTus0LWTO7VOr7D7FqUaT
XoMTBJM1NdTgz4wWL+PU5pB0Wb4sYKYtfUyuOIaA2yizXFYpShYDialsPA/LnuYehNB0wZi6Curw
s4G0P4W0JpVg5MDAme18SCCKhz2prkjRDK7ANHG57h5T7X+hZn5ZptbjwOhjx9E0K/m9jvx77Wfc
rahaeEl2jyA1o6y4bQVZ0tBwKOkjB8XBkhTtyk/iWW2RJzsaTv1aXQ/YyqVdoduUrY24YU7B1gfO
/w+7nzkU8rccys9u2u3Aey33K/CGQBnDArv1gmoEzCjsvv4r8MawecJ69znOoXEUCJZfgTeFbRUg
WodTCikcIA6j/SRPTCiPPS/+YBbwJxz+0M/cYyM7Au7o9effyRNrva4g2yBPYBdpiOHXRXXYwgE6
4jaj7iSLme5hufdFQodmmiGPQbprPVgC4lir/kIq/ikarr21887xhOQCQiv/kxcPkdNTi4Jdi9w8
7c/5Wegbj7SNPiUG5L6YFuGsL9JvvKoq2bf+IkvCOfLT1slqPTVx4YFLCbkDlb6vBkSa33AFNot6
cTsJmfKmQxDOW1XwORjq07QNlAxp8CUx9Vna2w+DUck4E4XTqnzVh9G1HdBVwfF910AQxavuvILJ
7/RBpN0sD5d13fvSTHTzBciAr6rK1DLNsDfBrcldlIWfojr+inprWLDEX3iloadcDPMhJ18hvb+w
0wJiUevWLmbRgCa5rQtphu2nOlAPkL/PW6S/lIXhn1okc+2SOUnaXOAQ8uO4v+h6dcHqwcn7IpKe
Cr7rrLr0qzQHs9Ne2KqlUiuyYHoa5pUMeu0Qcuvn54U1zaroIScQWIOKs3WoKyvcuDGLSwnBd+BE
IRGfPOZJbZblvOF2uiZyZqFnnPFEt3NdWY3jqXrS6vAGTMkZR3qA2C8wnCaO5zlsYl8YQQv8UZnJ
oECzgg+BYzb1VS/sOQoRl8hr0lmQ0qdKKXYap/D3YvDIJmRVtlV8Q0Ov3BLxs0AMri7DVcc9CCxr
66yt1GWc2RdJxlwemkzqPjxr/WCQzHLBZSayYh13Y2Q2Mg36XPqD7iCUbbCMI5bL2CpLR6kqcZSV
wcumbFNWyXBlV9bKzAxwHaqa1iVxPARpBSH9dWvx0rGwcnhOH3sS5g7Lw5sUJ6EbAHJGRj+ZupV5
EhcTWBMrznIDL2Khz7Ow+9ok3eegLL9luWhd3PaeO3CupQ7rEFI2nLhRWC2avtJuk0dfIPLOgL6z
bEcFybVXMupETTeHuExPC59CktDzVkZ6QYkCAtISPwCPpc6yS1YE04ijmYlj5CRBIrNGENnH9DYc
0q8xVssKt+d6II0cqvTUK6szlOgFSepBxihbiEZ8C0t/YQf+jDMCAbQo79pS3Wa18UlpvkCpPq0L
9qQ5X0TIvzRQ+jUt4088yuGhDu0Zo8WS1vq8bqJKZlF3HSfNrPMgp4I4Ox3aeWbrBS7Y1OzZPPeD
U58hCEB7uszidtmW6AoFLJ7WQ+F6fnXfWkAglWyYqqK6zGqIkfvBOi1scmOqbBmpZs6ivoY7TOpF
2JBLhopzP7Mu06x5LFVvAVNIbktdfvHTfOl14XkdMDfw+5sUxUhGMOmjOACfpb74kTUzfQ0prhKL
3kxnvGmBIrSqc5oCEQk0xTUL/QXj5DoxGk/6KHeCulg0NrpHXRs7AsWxa5P6pg1M4OAgcBosK5Dp
kNzXFZ1bdeNkfeWSbjCcWqTnNOZfBwHco9FOKrudxqp5SIt6Xprox1D6tVSKTIbSu1fQrgD08gDx
+Q2B1kcnFm1MgG40wfZBon5qsGSYFDxe2n59xuxo0VV1JQ1IYoMguGRNvPT8vpWh9s9bSFkmyk6/
NaoS0ijiCwPZs1zbF0UahY5ou2mSIzxRJv6scH0GPPcXGhkX2AtvhzWEVJjfMtzBbPQnlLRL7Btf
OtRcUowvUNS5Abf0pOjbFTH44KjMVzBPMjevAIsCm9O09tUsF8nXjNLz3k4qWaliHulwFqVZ65Yc
f4Zdj0/zspFBELpmaVw3imOHsDvLrydKDd/C2LodzMo/S808WyDfu8mS9NxIkSe9PJ6wwfyKMz6z
iCcZbc15WHE2aYuOzKOOwVz2n6K+CqUF4diyt/ozDC0CU4wzcwrJ+czKzQJ4ySBzSCcgbfXRvEzq
+7JVt3k6nPW1f+cV5Tw1Bl92rfictmoG93zn9/GXKg+aRceuoihyQ9Q4JOSQwyfdzGT6sq38O4WG
0hW8mRvxMKsGsShKfj3EeF74NjwafGnkRSqDpr9uanIbxVpA2An0hCjaSDa4vc4oPy9j8PeTuDRI
PKnbXH02E1WB8efWkqSekomIm2mQc5nkA2SJooHZOUCqb/WSF3BLfZ/Ni66fWX5qX4nEFDKpmnQy
GCqXpMmV9Bvgbxs4hqSBaJ7xNIRwfTBlAN1zbkZiSFp8x9TV3AsMBakNZN26sZvTMO4SmRv9j7Qo
FybMYhn1aeTQsMCSq05MzDj+0mifuKjnhWsFAij9oLQMyAN54hSJf9biKrtMc1zdh9iCGNgcCmNa
i9a8Ltt0OI3FkFHZxkwo2SQMT7J2iN0BG2ctLU6bTF0REU1ZF04sMnxOcu/Gz4tlnRPgjGjqkFjU
E8if773WDB3LbycFhnpKE3WQKnvRhFbVtyasHRyJB+bR86btwckoN6mbaeWZUtHyLkOod4UVrMCy
fka0mHttcInM7skL6TIZ4DHZgZrAi6SBjab32WAuLZWceyqmDrcSN4yjqZElp00NLrroa+HywrsM
kenGkHdWsP5IWsmwyHx+ZnZqjotB+lG2SOxWmhpFrrKgTsNDem23yW0FZFqj+95N0vQujdsUGJ5o
iVS7QMg4txl2IBSakS5fVJ49M6Jg4Vv50s+qL5xRSDzwaUHB01IxjUT26IXDJIz8686DSKE3s8ng
BRNY5uiYefWUAFtkpKlTwkvXdfWytuNHaNgAbtBOFxqpmwI4SahQODYLe0kTPg86dFuuC1EVZEhO
30H2YvmQoLZTr/Fd2wuRrO1yWoV4ntTkvhHMiUPcTU1DO9SCKooH76NK4xyse3Qf09rxMVANbUEm
dlRDgcGPF0YWfrZtb0bFcIUaEkBKie/6Fk9pmH3RmCOXJkRJo1HfvUI3The29aQK6EVrogvPp187
VPGJCrN1kWcWAm1mQ9lp6vvesomGp6w3L6oMwx23cQVEK7wsvm5NyJStFmKpDE+8notLjfVpyuqJ
jgUU/Sp0HTPjLK66wTF8Oi2hKiE9M8BQEULJPOj5g9mG/a0NlsaN4u6s60TtGq3+0pnDdWbwB0JC
b5qp/B6420YiXk+jsgHWuYS7Fh6e22vTkwtfNtoO5n4Rh46ZReeZl0wj3wBGDLiiDPu5S3jZuXmR
/GhwV0KICGwqg5/6qHdxk9/6qstm8ZAsWosA/1zVZ0Ox9tomu+8wTLQQCd8tOjuWec8ucKQuojZy
WMiChRUM5VnmFRxYKPoFiCn/tC28a7uMH5ACKnQ93TltAmmn4M2joqEPIqhu04xd47ZTZzZNITXN
Fn6G7ogPEY02kVQtcJ9IuyiJznIfQaLJCumbyQ+ggGOw5WTiU3EXVfpUVeEyajjEmW03KUl13+P8
xu6AE0kz6yLE/kVihdPYYv0y7cLPeWw/sI7ewJ77emnSMJ3UPtdTUrGHIbEXdokNJ0QqnaUNDGzk
eKqxqtwsZc0cGEQigeAE7+izBNHbDocE0oiiMP4ve1+2JCeurvsq5wW0gkkMlwcSMrOGzKzB5eGG
KE8IgRAgARJPvz/s1d3lai87el+es/qiozvsKjEI6f+/SUEetzbweNb4Ick9ty5X/r31BRH08xYK
rdiLBireTGIgnaFQwx4Pg4nzqoHyascxntfVZ973adfdqtWkSfDwgs35SZ8GbuYng2xydtDwkGRs
XdwLirspzegTpWoAsEfS3ToE4EPwqJfHXw+DTvTvw0Q4mmI7aztCkMSPw5TwraMLcFC4e18X+Yb4
39m5//isfvL7tzRuSMEcNJsQBfz4+1ViQylD0Z67BRPtEJfP//j6ozjYHD54UBCIbhTTi8dURV25
AkER5xh9B73Q5ObXvx882C+fz6vrD8LGZQRL6TkQeyKyxi3GaBfUqfnS8t0/HgoiiRB0XACZDd2y
E1/eShtXzrqssjk7/ADAXDtpD/Q5yLANkz799VjbZf+FAXybwj+8lm2Kv3hsjlsLsGxte+79LIGI
AH2X3mFNtXPx64F+8vx+GOjVTXURT+QUfx/Ir3cdSw0rsI9sW3H/m7n2k+8SPk5oUGLsjpsQ5ceb
8mnnSWy83Vn5Rdk+zyan5adf387PpvOLIV5Pt1VR1ErU6c5d/MzL9wH5X0xnWFEDnDyBBHv6Dbt5
8V740IKIAEd25lgB/Sht7f9i8Yqh0kP+k4/PJvReca4d6VDfh648r9HzEp2mrk8d/Zu162cvHZM4
ojguhYKXey3PYaLvbLyK84jCz2bxAE70DpIS2e9W/zcz+SdjxQ5uA9kKYJKBP/340lkZA2TjtDuz
rafOa5kxmwP/lKix7r+9/H/LuS7fv4/vQqSXioCXAoH/N5UGHl7Qf1Ya/JnP9RPMEz/4J+bp/Qv5
7D60BAH67Xh76X9insgKRoCNm0Bb6AQ4n+FPzBOKAsiEHXi6/O3A4cDH6/0D9sQxxNuCDh2Z+88g
Txq+miSbMA4CAyRlxSBqsEa8miRRq6tYeBU5u6TNJl27mROsX9AlQO1C2xC6GAcAJS9Gu2HpKJbG
+2QUYHuimfjoU2QX3VcV1C1p4lp/Nyl3fFvGaN4+URLrNGSl2PCoYA88T6bKi9d9pRb8V5AEe3gf
xtSMS7w3ujYg8ElSjK73DuWL86kaWpENnukLySLw0hOw07maAftJ/F0/GkDPNd74oe+5C/IFtNDK
Znq1dNEV51BFocdCWydQDU1kP3nTR2FAkMwDdAgt6PgUTGUeE3sLDV6SiojmLAnmU9w5aypGKBcS
2K/2o7UstR2qy7ExGtqJKvVt0uTAadbUK0d0Hf6yA6uvLlx1ftpZ3b6fY2ofXPctqBowT6Q51UCO
drBp3nHAWKnvuZBhccjClvoMShnIzwKEFaBsoFudxjMFpRUbdNzRUl91EaEp9WtzbKxyckUHH+xh
OS5pbByJZwbEDK+FnIOhtimF1o5r6WcaAOUQKJo2szR3a8yjfaeC5s7Mzln2jB2SBm1xSRz8ULOu
dUHIrivRynQtFHN8kYexZG26elGXoIMK4p2KI3QGnDF06QnEWw8Uw+5nznsnx8Tujt04z3uhZH1V
hiS+rYNFmVQn5W0T4oe7W3eYyjt3YuAjKdrzLnyuRkHTRbVejuC+942rq7zU/VcnESKDyOSmLYEJ
xhxtrdNsq5f4yla6G/xKn63A8imiIMqCMW6ypGsq9E3hcZyH6MqjvZvNaFoYt3hNQuwDhn8lY5y5
hk5xGtjFS9J66hdcgPYmwBDjvHjB7Qw09QpYfuZKv/UvlKoGT9uxlaNSQ/3MU0216znaq3FInN2E
iXae5RIW40CH6zCQckek3MsRPC+P12nvs/ZDO0c77Rg3s8SoqwWsfdrOlVvQoIxPDdogIpLPHlE3
IRd3cgITSfxb1UfelHqkP1lS26MXjhzd3HogdGmBgND20eFlmcfxF03Mdd1G13UQ3Vgmkxw6nf1g
bB4C38Y9n2Pb3VAhPqwzuaZufSNYXGX1RMvbLgb7LMLeB8NfPTBrquPA2uPI50Mz4CXFLLrql5qn
hEdl6jXxczUt+ALD+mxmOaemS8aU6FlkcTJkbtgeE03zGIlwYozTRTYuZCJfQ8guJy2KcQWK3wyZ
MytZVJ4DFH7ZsZ4fozm4ThaTAU+xKdOUpYtp38Stc/aC6U04OzEmaSLDc4n+46qM16/94N7TdTpG
QCR8IXKwHH7mMHNNSZPxeX5mob8PxzlXVdWnHPSiarr7WHqfkwbfsGiB4Sf2PgCfvRNDf2uHtSBN
AJ2Inwk+AQV0dVqJOZtX4L1tKT6t1j4u23x0G34cJ3YBQn8WIP4jwKylkYdIgKyoMHxLnTvRmZMd
bOat9tiV6JcBZLGV7NepOQAwzKD4O6DbLQh1DFai+lMYT1lL+gOZkqxhUW57CVTYiSHElHtXo+Hl
U3XxdLur5+pgnHgnJLmZZ1vYtsZxndjiG4OeWXzF4ZpZObo7HCeSlbr9MrZfZDndGx1hRjoHCx4D
9Pg7OkQ7BSUj0j8g1x6zoPTOOJzgQemwCCB5pZW5D0zy2PLV2yUtWBa5OHsRjFlSosUWJUlp5BRx
ggZ9qE9Y4Qo7gAxhgIhi6GkqxY6+aw9mHd85rr5aafwQhv27mKn7CojhJD53tv8yOA7LoE8G4lUX
ddgXqrS7pgpy5tis8tkddGO3cvbvvVJAJwWafXRSZ4lSIFsHksyHWIGDZ+0DBxumqftmxJVGZQJ9
LyChkszXypkKfIonlcSF66srvwQkbYa8AtyfmU7t5FB2KU4Z/rRM8h1+VVAYkHZWBX2GL2kA8rdk
tlueVaeyLibXrZbHlUS5tMDLZxRyjGCTYH05ZAmzTTqFEXRe81sxdR/0UKa2j46gNvOeBZDa6PHQ
xfToGCHTlUKew+d3y+i8lSO/l6Dmy8AUdTnh2SV51elDpClmZ7QHtnLXyfa6X7tsJtNDW0eH2JTn
0l+PXQCErnQhZqrjtJvqQrT20pfOER9Y2i/xHR+TG9817/uw3dnRmTIvAXc1hndqVOdO0fvJVE4a
u+pholA797JLx3VKO9retLQCkDk4wDGr23FbqFb5zjYa/Drd9z3Dl71k3F8ytWxFT3dd9t2bsbdX
rieviRewMykh7a1s3T4oBd3Y6ukr9NXpuizZrAEvEv4Zauc3XIvo6IEpA5em3wcUmzroVLAAeVO7
n0MBRZ4e3jUjOyJN7Iz1Frjl2OzdRV1DDoTvso2abHXc94yqvkj85lGMGliQgSTbdy+8iSEYhAay
k5B3e3F0KJswWzwCgmGV2azGDWKtMtd6gLl4Tll3MVUI/tBcmc5+7kmfE3B6eqRpj/0PX4BqUz5H
+TRV+chIlxFUCI2eMtFikzBJd5hJ/HmGoFHV0EjOUQElXd7JHuuP4gY6q7Uworu2uroeNX2UtN50
QT2QM6CQNcSUbCFXnRdgrrf4TlcwEhLyN327kuW9GvtPUzzmFYeguWzN7RygNRYOtr8XJe2/S/uX
tPir3vFbhei7XogQZLgTcPDuj22EXsZxxGnA5Aw0sOZNKpt7wprf9Cqvuu5/DxJuLSpafH87Ye5l
110T4YTol8jZxB/HZb9M7438Wvk7AUzu17fzs4LXx+ngf4z0CraQJRj+tcRIXnxigU37yM3X9SjD
Jz59qGWY/Xq4nz49fE3bocbbEU2vbsyL0eOXrawuM/mgp+uh+tS1n349xM/uCNUyimUM48NA+uOz
A5FinMT27DIHGV/2k7V5C4mAqPb1ylNPn3493E/uCI0rmha4VQIPdvMfh5u7UHnW0fUFnhNwDAOQ
7X3f/OaeXqEJ23z4YZDtz190+6okmoYlBgFwmerxhifsN5jS725j+/MXI8x61fMIn9Jl7G/Dpc8a
+VhG9W8G2XCVF2DS327j1avpG9v0s1D1xRA/ZTRL6gu0tVjg3lMw8+rsQXH2z98OMAwHyS9hAg+q
9+NtNTV0rB1360s03A1OlfXtMSq//vMxAO6GcLthHsC99OMYJfUhgpxHfukUy0W4AzWZQQL960F+
9uigBUq2c2Uh0U5eDSIXFkV1bTjez/sOkgp0inwD6MsHPl0H8wBf0d2vR9zm1OuX9XLEVy+LJShm
e9fyi2NIOqu3PgqoX4/gbhf91xCbnwA+I3jEtuPcQnyvrxYfJQPWMOOKC78Zj/qIzfNWZjSnd+ye
Zl1eF3FGil+P+eOQW/gxnuCL5/hqSDY7wuh+5pc5VGiT69SDttCTh1+P8vNnF+CRYOfcTvv9cUqE
qxtGWjj8Ug5J5rnXcax/8+y2p//Xo/t+H9vZlfGWcgMh2KuJ3Suvdq0i/BKh9bWxh2rzQw2xf8X5
b+7lZ0/s5UivFjh0xHKEMYNfXPqFxXe0fBjW3yxvPx8CgrWNvgBN8mqq1W4D/nCtmkvXnSloMlN7
qTeFv9nqfvYJYbL9OcqrVw8ai2lbYZS6+dSSQ+mTfFOyNFPW6Atp9i39zTv62215ToAwV9AZ2IqA
1b4qFbykjHoRyfai5/0wfljCfFjv/+FEezUEsLSXy3Y3V3igDMaYBSJkl1Q7y+lvHtvf5vK3Ib6d
g4uC52/ECTdGkBad1kW1n8h6hNrmNwP8bSpjADAzFN8JgDePbhv6i60HS2e0uBDaXFDniYlmjB/B
6aZd8uXbs/ovKrtxZf8Zlc3b/7OT4/PnP4NYXjh58YN/oLJI04BlO0FUA87be+XkhdELsSqgMD3o
5d3tLOs/nLwJzGGAS0FyIlPrNSoL8XeABcoF7A5nUfhPxKiYDj8seHDyIsYHHCM2DR97Bn7vj7Nk
qEpDiTursxPIp6WzbjH7w45AWAvIQY0XspbVoROhfEeDXsMlBemBjgg0ZGI1UHPM3dVaQWzWrBBs
Qsr6tlFNtBt5DNct1tliDdB8iXqtUwo4MdPBJPOhTOZsUGq54Xx9mHQHd6+JGVy90ZtEdceKsa4I
N6tKROUVFu3qMPrREeDt23IJ0Q3z/mGUDModUicH10G1G8yPxneuiZhOEgANqkUIw52Ru4WlLvxH
C7QH0CTZwV0zucLIZNv3pfaudNira7ZMDw5kPUU1hNgsl9BJQ0M/hnAMH7Q2UOIZaotEmi+hDL/A
R8d3iiXTTg3zbWL8d6C9uivo8GSKNI5nb2Z3TC7yiMv8lHTi3EA7FftzhE4LXOyT4bbKocHdwygk
97QPn1vIVivZ3gloh9Ctiy9h6+YGkhZXtv0+IOwzdqP7JWyqA+y/UCbNFO3qsq47XpMwn4g5Az2A
harynuoyvp390ktRVEu4FGIJ9h9gGu+wEs/L0Q/1B+EC3Bt8rfYT/NTrGizXsWOf4pYv8cUoeFh7
6DRE2sYBOnpG+q/rxGgKRTLPFZ+CTJqoToO1NXtRoycearBl/WABozTeG7dGW9DbwTl4cNRh+/Hf
rw6QFBhJkulxCtvqpHXXX62OGJMcDoxDT2W+cOfelZKmfhfztKst3DBO/VQvtE9LBjDVJ5rv/Apg
SB/2ZgepFdR8RF4q4JNpqKq9FzqPEYGPfOHj52kyB6cNr4KpwyOGr7vk5m1P68+RL25KggZzswxB
N6NFGpHpORDKZjzw30M/9gGyVZq6VbS3SSBhS+cHz6kehkjCQzMBwfOgNh3WuICQa2d4tAOYfROW
0a07EZierH0Qa/fV2XRq8xSHgIgsVI5NRdOZ8E9uSN4haK+wzNy3TN/YmTxSwj7otv3CxiZJh4lc
D2Y8OX75xnT82i4Cb6v0nioBuRYby8fSRNea4wn1XhUUfh8tWQP6HT38+zJa3iBFF8LVCgIYQwCc
RrXzETzI/TLyU9WPhVcmFXwY83lxg3vf4l5EWd+Nyj2GcZjBq3pV9QvgpeW6JxSIin6KgyqrOnqa
A3pm9XrwR2hoHQiRGmXfAeiO9xCii7SpEy/DMten1UBgprHSpKWZYYavx3ejEld+Mt82vndkzvo0
dQyeE+jWs8Ffjv2ITgUTFpQ7ae9V7X/sfZEcoqYd0zWMAXRxP2+hzgRyL1WOyAFRyARq8QBCJg6d
+7GL4M9UbhF7MDluKy5WKVfmTTBf5OTMqTdop5iACFYOvF2uMxwcPAKsSXe+DW/5lHyioYu5FYVv
vDC49aFjzvzJuumMnncntyVuhIEObpsHL+mgomGob3slUjXIKxyL3R4ELGluqycAujqEGs28ndbq
wXWCj5FoYd/04ttmZiWMjIQUXLX3buTDB1MBvbZe9NGDiC13uxa0Qdjn1icgiGqgMlhJCzhxvo56
RVMyQExTj+5jV89dOrlR/aln5BTKeYZZDmtEXb9d2HweIYGChvHraiR0tB18W6x3sgYYtJvVipIk
ddUq3oqKRNXt6lUQZIazzFHmXdN4fEwsMhFGEcEwv8oPcq2TvA9mP9XN+q6cE5NGs4LNgAzZOo3o
NdsTq9yzT8sPRk1f3WkC/dSNV+3q5QBZIcjU9G5q1tspIUBMnRG6ezXkMWReDgGHNk6dk9KlhNhp
nR594xzqEnESkj/xGXReAwszrmZ9l8DIpgb7JCg0nwu/YD7gIZjpjWjc00rhKtNV3aaz00ElNU+p
SSCu8u3JDdWVY/h14Jg3HRiZMqCXsFK7Pgk6aKHxVQcMAvk2NFD4BdjkQhTKNdc86xxPp1hjdyDQ
DnCXHUauV2gRFZadEKKw0AcZ5pZBGrpluw9BMqxr7BxJsxw7HrLdWEuIna32jmPd1AC4OQRxft/B
PDXW6TKDU6xMXUCYyb9Xf/+tyhyU+/+5Kvu/kJ52KGC/J5O9KMnwUy9KMuBkPvKUtnOwv/nr/yTK
QYejVMY/wIUS9E1/lWQxsozxD4hsOPNxjJ/3kijHeoJToFDJJdCPBu4/KckgmvpbSYb8lgQXiDNJ
NugLI70s3CvU7Zz7cXsm7vC+qvWSrlP70bX02LqiSzkk5Gqc8ojCSQm4d/Wrm8QOpyUWVVouCEUR
9QCncgUHYTR5BeQyhSP9h6WevTyO5ATLoL1xdLkLCazZtauf6tjrs9ZtbxgFuTKT8dA26lmEpsIa
E3wuPZiWeyKwC1BzbeL5czO5QxY3UP06vp+HdsZ+abs1dybS7kC3mp0XTzqLpmTKAnBBmZadLTpp
L54F9A8e/XoC0ZlauBl8o81OAfuWTniFTha6eAPgu5pVA3TRTynbOIIoucCY+XYuIfPkMSBsxsgC
x4rG/4a8ztYKnmIhqhK0zBHUbWEjCevfAG7cW8zTyqpbHXXXPXz9DPcEa0w9pjAFYslssKpXIm86
77Z0vcfStrqYEZmdhok/p1rN+NAbgnU58A/Ct3VWxv3bGE78LARlO0H2DX149QD2rP/gDMuT3Qoq
vSXVbCVWuxVbHH2qqeZjjSpMbOVYMFGZBotFXspWrEFFc8tQvfmDglu7Xs4EsFjeNBMs23SFQHgr
+6oxIXsip3sfFSFFHM5+2WrEqWmuZfiszXOf2CJAPamsL/cTvEXtBEPCCPpZPiUu6x5ap+2bL3W1
fl4Mu199R+fR1MsoBd8Rx8+jCzcv5vfRgcPyYLQnz95YJpDelerKJmUWJJCKw/Nz0CPcwrDx1hkL
Envy+YqCsJYIGmhp9Hbplh303ezWN/LLsM7eAYbMBMruMIYX6b/d5zcbpIvP/j+vc8fO/qTx3H7m
z1WOIiEQnSeaum9pIehJ/1jlcDJ4lED240OaBRFtAmjij8Yz+leAQxg8nK+CtS6Bm/yvVW5zQSLM
HZACMkg2vOcfrXLhhtL8hbThyA4HmqPtGnB8mu9T/xVsBMUC1NhzpE+iCVkhZQvXhBRBvN5Zb15n
LEwJK9cwD4AtMmyYc7PkFBS1iw3UA1GKdaX22+shrgd7RuMCNRxMcAsFceaacJhSQVvm792oE62L
b7et1R0jJfxQO1ImsvuwjuEUXKJpSsZuFzk91AGGUqhJMhepBuo5WvW4riiMykg5mTHjDLrXndm4
56pPbtngwDlgxjAdliV4M0iA+zGqj2GSDU2DhoudOyzzNXA+CyKw7k5R20z3btgsH52O0h79Ias+
zsFoihYa+Bsk+cgc1tDyxAkNCvQK7IDkLQHT/+LbO/hxyqOa5HLbdNECq+Osd2PZf5VLrCDq9Lzx
Oa6xTrc68KaMlRR1NuX60VsGAc1CRz/Fa5vsZ9YuNxVWzRJl3b4lAQTgqwMxv1/BqzY5iPUAQWtS
qjVBs+jY04g2umgmrrC2uBBcK4X+MQWc/hGvSR+G0kHx4vbIxEoS5n3w1369sHXlXdp4k/exgTwI
bhP452zD1TufKqgBICe8dH1S7dZYTOdpaj7hkXZHRFG4Dy54zBbKcye+DZY6Af8v2ckKkJ2VpfWJ
1krtkwSGQr4m8QnBGfSARBSeJVaMGfMr+wlJG+0N6kn1NCEXpFAJh0WD1N4thN7tCrWYagosZ2gD
zBDeuY0kRT1QdfFrv9/pyZHX4D5A6avmCjkka25jEhcDtebrErD2EPeiujKyDnBtPCK3dQlvFnI9
WplJi2gNrafwZrBxt++ryd0HaNSh6hm1gc4pKa/akYRPqITfAqjwbjwS92dcfglhiAhulfSCQo+j
c7YrM6DEF36s6g7VPdrf20D19p6NsEvOahlyW08mr+a1LBTQlGr3/+PK+rIURP4dCrr/vKi+jKf9
q4D8/lN/LqtIRPehrd0kr8hooviFfyyrHk54RuweGCvI+CEiBmj872U1wDmgkMeCi/leVm5Q3x8q
S+9fOLcs3njVGK70Tbb5D8zl7gZMv1xVoVoHqoZGHQFR0BdvB6m8rB316st+APhx6hY/yWdIifpU
+hyahQZxSHchofaKm7lrcsdBnJyWwfwGX6hBqFnSDW9fPL3L92Ffcvrutoa/uhrEFHqQncB9AFb6
FYweQHrTJGyaTx7iVk4VMMIynSIJkM2gsUvSGUEz7yMIMiGME7EesoGPUNiVq4oCaL2i7nOitXPG
72DTzmtb980Kvae7tyEtv7iWwBj16yv2fkTlAYcizDCEETkBFQg3hveKWwhqGPDCxOqTb2hV7UKz
tm9mHPHqFzqyQKdmWLY4/GZlDCNraJFf1Dj+HkF31kUIn9SfmVEKPTbp6U7pGuI1LRjgh2hElGBe
Sc4uzZRcCZUwhU3HSZ4UG66bdqEmrxUJb+uRzWL/67v6+2uAqsJBSxGBpAEIvd30CyYgsqRaSN+q
UwfH25OsoPfFBuVhavTdZC6LGZOHvnTbd78e9jW0HLk4Axm1B1oZSMC91zs8NGdV0KuqO3UIDINT
ik2nDvqXOi7Z069Het0xbSOBE3QAmYfoELa4zJc3CEuSXaG4lae4d4LnYZFjuy91bL206VnuDFO7
Zj6ClCQkRIho+t2keV3K4C4RkUm9YJNFYHV4NTxoxBpJjKI+RUNDnyHso89wqeIaYLlXeThKmVoH
r36/tAMUm0Mjoy+6TdRxSWxwY0J/dDJ/4Qg246hW3vhjj8BMBiDxS0/mfueQVUQZTWQwHhAOh27o
10/vb3zx9pa2ZcMPEw/MWrAxfC/mB7x0FAVJSQBgluIZpnKFRC/S6C6ADNl2cLGxuvlYxUl/Y9YB
znAZmA2um6OvOgJChNCHCgpZZEN+qQHUf4a8FYrOX18k9DmvFhMwKD4m0XbODHS69LXRIBzj2hmZ
9m85vNNlEu8QeLRC0m38pNDzNGWjGZy7WViK9EPGkHDpdnvljXDzBb2XNe0g7vuWCqBX7VK9XTg8
/lYBRe7hmH4TqibelUNXIiiLczQz2udLWkJufVp6os4DWf28qlzQ2qBEOpEB5hcHRIm19x6vLpXt
fEgsp2g46XJ41B5SxXbhDI+tW1sPawPMwisUhTG/gS45fl86U3DFgADcrJWZk2yBwV9kWFuRURaP
VqQL/BsIRaBkt3LzqVeDfpgcAvR7EToqSjVMR2gpt7g3d2n2JYDvOl1ZU35E0T3OsIgO5MMk4K3t
wWkfG9n1R3dI2s/1DPg8BbraPNQJgGRI1YPqCtQMYvLwHPZgrJLzsAiTB8s4FK5r3DlHU+dW2bxU
8ZDBUIokP+WPu6lPzqwklbNz3W/G595bgJjxMI111L4zwtnicZL+gfqa7qeEE69QoVif4xD5nwqI
3FrM0MkWxBjn2VPt8lVVfU837Z6Dlr/y5qowGqEi/rIsua2AphcjMkp3cFeLQ4e/mmI5H5E4NMNN
lXLFkcwTlZBtRhKhpCmE7mXma0QEIGWjyatgss7d4rvBrlajg64cM0kXvl4StTd+ZG5gCV/b8g7+
cS0QqlC3ths/s5J53vpeLcREAtKQEUu5/ORZwTXw20lPU++cdKMFEr6Selj3czLp8ijGuoYm2Gvl
gxMR/8itD7fuhHcArebgAERdGdI6IYcvsR/qtkFBh96gcrKx1W55Rn8BB/2hsdHCdta0Cby2SvuY
UUspXbVkcJ+TAgluvDzP+HTCKhviHqpjFyltoujaekzSdsDmVeYA4cMMXQ8MIojYczowOKqE+h0k
1lIWSxu1IldIHWkK2lVizeKVYsXsvCaAzJCNBJiqspW6KCjoRC6rOv5KphnEws6Rnt7XQTzFJ0rK
qrzq/EhHMJJ3Rg2rPSCnBNLavK9YJPJSzesArbjqEFrXhsIeHDQTiMXyoC7OIpBs7X6sh5oAgQ28
t3CEry6yIsMGYU2NcMgZRBkAZBCG3VsuRCKO/pjoFgGNOrxfkSfhFxwRuy4IPTjouzRiHtP7cpz7
DoLj2r/i1eo1xdTjCnKp2wrhb65BPBXE//1yK2KLqU3wqSBmw3Un+MApbXdV6VcT1EczXmcdQZmP
9Arur1/axk/CXYwLQKClFWw4uk4dHCrg+MjYaZrB39WyRqjJVKIhJMvYJxdeLjzI/HrgQPd7vpJr
p4QS2O1LsEMRA/iVu5at8shqdwHHlwQM0lr8vdRNEFCB6VP5Q2aWGuyANjX5MAInsARZwU3sndy1
24jWeA6I/2jbxZtOITAhueuSQd8iLg9bUqWiBj+QCPT/BaJx3O796rYdu4KouzWFWqByvYZFQj8G
3KPPyFYTJSS7mLzF1JnIz1WIdGYIClw0uK0/NAr5GGVeu/Xwvl0WVBa84vODouHysR+Zf5ijpYKB
oAGrjbDKEr+HAtk3BXwcAO1N7wd3CorqR1cT/I0lJCrOtGsjGHU8wWuEMnge0PSoUt65JlGCWLlh
m5ycD2oftYqpi7GBjjNAb3g3bOlwYRLBju41drDkCSAIZjda1mZEZ4ucuaNWSelB8gfg7N5DRmGA
dApY4G+10VvxCX/ChSKAz+RyERhaynWFB8ETet07TbTd/HbpC9YnXFcv3FNAEW95Nw0UjwrxR82a
Jc2MT6dvq6a+68YIn/w4oSqo8GdYUz3dsfPgBghrSn1krOJ1I4ljuhWE9SqtnWkwhcHptz7soAOa
efy/GkASuVhATOJudbLuxFPp+clVPNeABmNG4Xgwtgqfl87HZZiR23tfG0ddVyhzOYJwEGXyEGO3
2KvOcU9DUg3vIT5A4CALWO1dwXSUTNclk9UM8XY0AHWOrL/vPTzWzIkG+6lpG3oxk3LkYXDs3LxF
+mmlDtDoQ5y/JtsaUg8tg8Ee0Vd57Vmmij4UyVtEEYtCLD0QhijY+tZxYfe11Oo6EQ2HCcAbvQrL
Hg2wHTEveRo5mau89Tp8Jis4wuQYdNIdvkBw/j/snVlv3Ma6tX8RA87D5WGzZ82SZUs3hGRLnFkk
i/Ov/55Stn3sZGcDAc53sYEgV4kjW3J3s95611rPqpeTb/CW2k7qib3NHY2/0ZlNxJZDZmrPRjeY
7obsQD9y0lqjzujd5s9dMAYP2sKYflqDvjO+9WycZVgZhsdWdjL5rebKSNeNPSUu5CxelmmjFYG7
W9HW+st58TD/j1hpfE8e7GoencM6ubw4hY6Utm8AVYjL2p3tC63HSrFN27oazxBm8K77jqzSByYR
+U0HE9iEPDrlGBapnHBpTiMIvTpe2vsyaY3siyFWywdFxAS2fGp6S0Mkb2XcbVNPK5KTFjfTa5ro
2riB1+QWxyzQjdtZavG679izZBjNB96kmdJMb+aiXJ0rsjfsJdpm1N1L20ixxy9MN3I7pQ2v2uTX
GZy91at4dkhZbo3ZmrtoLE2/268+C9wQQm3iRUu86HITN9JtP0/OYjzkacd7jZMueOS9jipWB7XB
A9ZsIE36VepO4Tw8IQVMvhEWxeh9csy6naLJSXr70o5Lf7xr4UdCA4fOVW3htPNqcnFY5ovM6gtx
4XVNat2YM1q+ir8E/FwzpJXLotMA41Qy5pnBNDb0lyXxGa6RQZHsSIcUaTTNun5cWpvP/QJJH8NC
DG3yYyr9v1bZLrOvnZDivf8j/PqXaOv+v46QrdDU/3Gd8jK+dS/y5x3Mv3oS+MLvGxVKQHVVa4KZ
yVKOJm5PPzYq9IMGjmNA6cO0oFbO3zcqlv8bRG3gflxZuHH9IsdRFqzCpuRWudAYf9MhxS7mD/cO
ggKBqh7GxMXsG3h/uN3ViT+O5eiLa10vk0OTxPs0QQ3qrOmMyrxspsGUF/Ngir2lr9Y+mIebOre5
cNbVa2ebIpKaPJRL6mwDqyNtNLlAROy03UDdWsNcm0zwKL4Weq0LPJrc3k2bBJ9TKD+bkS6Dzayv
Z87Ni86xD74AfYxbZN8uDQHYRGzW1r9cuwUhRxTjYSj7U1LlODNs57T6eHMS27vEZfYpcZqBuIcP
IscrorrLbnu9e6EpqubxlDyOsH/DiWssgxsAu2JcL93a+zzHnO/wMb4EpfjszuM5KIyLySsfNKe6
7H0M7TzKP9Ud0r1mMJLH09lb7bsaOhIMrCczmzdJm+x68iJols1F44kvJuRDK61AjzrzfpwdKK+u
/dKXvgzruYSy4fXbDCge21nYYVY3u8ys7UIGsR62I1k0bmUk26eZeQIYqkixgMzTcDWVSP7JOhl7
ihJ2udvezcUIBKYwyMyY640Vu1/NvnkohmXH8whobkL2xnZx4lTHjOOd+gh54w7ep7SNEwwPyxdX
EaqVBSnyDJvIXZ2JnYU1KapNb486cNvNtQeuqTzNBu6dteJ46M1PbtoZHGcmgGURXOejZ16VsXeY
fUxEV3Bi3AHxbPLP7kJVBvLILvNG1MCWR3e/5tvewtjaDf6X1AWtPbQqRSyyPdovK/VKfC08V0R5
jwIHH3JX+jyY9WS79Mshw6GFCJq/dp31Ri/v2yTwziWtfaUOtXlsExYRY7XF/WY/Wk7B/I7HGcU0
o7qkPVWOeywdg0kx3XV+UuwMLhHbZZ5NIofusvc/tMLaGfrtNGq3WTN9C9ZiUlxZkHt61+7X1iYX
17cnW2vNTWs3h8DFASHMGE8X6fAIsepgakm9F938wngL/Atak6y2eq9vUGG5XRvBZyDQ1iZt+/G+
tY0WNFsCbtYb4NbyCN8Y62Bs+7Kh38Ip7wK4Sa4ZWzDK0yPU2It4lEZYFV0elUnO58KjxAE6MPij
VphouiBetdIqgY6vw3kBhx5r6VcrmezbPq7u/A7AslrJkGrjZ0l78mPaOmylDW0HQAiUcT4peTXP
tGs0N7HnXKSVrkeNnuMCyfkLrN3nvjdOUtxmto13sPNvfL+Kj7MrrmZgm+HYT6fAFN9sWTZhu+Qv
lV01Ww/jZKTNWhE1K++PyWlZ0rVOEqlAp4U5bX2G/fttJKWSHyW2nkyQ/Gxj3gZjFb8sakg1l/Yy
XguD9gjtfoY4VBs4Cpc2fdSS4g0+FP5vkLdbbs6oIhgFtKpRZimKM8rygeXHe0DMeJPMvO+s0tvb
ok62NjufUGtWlYtv6wvNnJ1Lo64egPC3V8A/QSn3HnCxYI2jeR3h+MUkvJNOFwzj4yXRRT/kNpaT
h8/u0453s2MnxhFAUwpgilecKwaLumW9FXHjhsZqGaGsxnXTLNqdRZVHpPMnkWsl5Ej2mhVDUcQ7
uJA5mcrePiiY9Ginp4IbOWp6e1spjJeQ93qsP8ROJpCbRuK8jrm11nUmKy+6LqdGxui+FIEjp60r
azffyEFBS8d83fQjgKxdNsV11OaZpP8kSe3fuTb/15PDf99MoBzEfz0TXL58YyL480Cgvur7QIBl
GlqFApdAoPZcB2P7TwOBAyrJxi4PX8ZUIbT/Va6RGSg6sTnBf9dRfkgs7m8e1DXAGKZrfZSW/h2J
BazRnwYCFHXVak51hyI28U38vC7VdBIiZm8k5MSrnbewKeolp1i5dFdWX37GKxI2M8UEa7acPATE
fV0ll6UYDrphvNna2G6mADu+NUmQ+OWZqTYO1yC/rFG6IwPGeZ1l6AYCnp9flY9YfhXENqAyAIqD
MdDi0vvDVY/xZDTGJ7cksZwXW4d5Hwdw+uwGZaSxq3vszEHnSC7OSTXF7MWcEYSEIXbDkF0JNjm4
g80n+OW8yzPY99KyZTRhPGHnFr+Pk3yzSsdFs9TdrS/g7zPn34sivZ2T+mXVp0eNJDYLuGTckCld
KapwTg4CUzQAuw0bQsp87MWr7+RfU68DDkUkvJv4EQdKgLayMW54DIP+Sy5Fs55zkY37vHP0SGbm
jZOTj1Ib1SwrKXLy+3lTEhvfu3YzsouavsYyR+qm24FblF+CLnYWuLb5A+PBTTYwPOBtQdPiIXYx
VcG9rOKoqoxbWU/dLi/tKtKC9ZyWwSnt53MjUn3Dmk2yMRyPicHJkgivCV0GrFAMrNm0TPpRgG/1
k2SVegiEM2Bq9KCfcUE7oXzlO8yJ30CrL6dkTMGb1HoSySr399bka+y/rAu3NY6tTWnIwgPydtFq
no9tH+ygPught2fC7Bpruhpn7K1wNU5I3D6ZR+VS+7zozbqXiYUnu0kV0I4MYdPYO6/uWvbA43Jw
63jXJ+3KeVeDLUqqr6zHqw3CSRKi8lfbslbI/Sp+Lr3p6CbkEbOCngl+0wWzVrbLs5pKEu7RWWz0
W5W/PJlmewfaPY08c5yjfHZ4Qw6ec6VLnFAdG9BNMqxfMRpZYSMHurs08JZ5UQccAcIjxmuO0br4
l15lB5E/u29dg8m0CwzUyb5mM8tb2bHzOUrGrNw1yQI4Q3Pv69R6Hj3QchmmbGpWvPLQy5nQfzLd
U6Aij6xovqJ4UcBRxW5YJLUf6cPI2zjwbthuUuNgl/ZBq5ynIDdfgXrsPULTW3OWl1qlYS3TICLZ
E9VKafuKx3vhxfcAFdQycG/1Ze3tkzqFwAzy5s22s9rHW9MbM/znGQjNDkKF2JTDAAjfm3eL1Vs3
3lQ90TUlI6g0RghCeAgxDDwS7ablJp66Lcs6fBxBEQnRL5uiEJ/J7BJBLtmoZQTh4w4/mkFC/dy1
xA5bH38xwN2HVcTXndtcDDOYsEHU71nf3psWo47pn0dfv12B861rujeL6pRq6aWeY54D/AznpRxs
1tD2nS7cMTL4fXftTGjOKqaNx7pSeInJyplvPEgOcrLPuqa/u6gLFIWpR5O9FXG1nIS2vJgY3UII
pA5Bd/yIzJnuKVv7nT8nMy06udf3n+ukHcVuThvuPqnWiXtrGuSjmOfpaY7NpsD4K8fuYGW+85wU
wjn1kqXBDUb1hJaAVrOf44RB7jInoL6vgqKPhiD+zLbC3TqzyVsjVjUKvF8ONlcdAgNruZl4320d
GuFC3oVPgz0c1oJhwoghbborXkAVQ6DGoQ4DEd/663o91/gSV5ikYCirm9JNik+DwROuauiY6ygW
gYKYv+PBvO0gdx+0Cad+JhsucEW58Rrvzgr6b9UyPrYO3BM+xXs/7h7XYEhV38dNYGfnoVicTdPo
L8bMc1zUE/ak6s6YjHLT97E8tCWE2FrG12jHJoUmsF+oOpq5zUxGcayFCdzZql88MdK0YRK399zs
IivyV9OfeBrMrzNo3pobIDhsB5IDwlFSUvbBeuiBLr16FFFVHHxW1/W6zwZ6Ikb/GkxoxtCUv7tW
elqpR4lri8m/zLYGzNjQ8PGYlGNrYW6eyC9YQItjnn4dlspdbTV+uCxEJXIz2/ZiXmmoq/Ys14xN
NcH3Zot4l+VOEJWddxE37Y2QWAPxRSGX+Boalcm1B6C3k2g7p+vkBmn/sXDB6TNCam5cb/B+fs79
8WtOvmcPluU8NbMIx7kH9LB+dlo/BCB/TfEJwlvvnpoYgzqdMDuWXwzq/jNMuoz7twADqwkjHCrj
osbOsyF6gf8aroHj3XtBYYWGab9Rq9btppWHreX357zCflCxtOd/nHed253YJiebIQM/kHXekcYA
ns8MpVyKw0LL7lk0vbQDFImW/9YvF6PQHguLl1r32203iJ7HzbirjOQtD4KDQxJIaPxq3PjvIPK/
NdI4V2b6u8b/zzxpMF799Tx58SLlW/1v5km+6qd5ku0SQhMTG35qZb75MU8av1nqP/sUaf5ri/Td
svPRwobBjWQc2MyPnojvlp3gN48wLb+jxy9+dLf9HcuOmmd/dcmw4MKp4xgENnUbM8mv8+Q4BLPW
CHe6XiZLett0jHMuMl6wYHjLUtbg8blfiwQ1AORQ8WgMhsacqPtZf2zWTN1+3LW4kEswgSqezZ5R
bGpqQbqpBvr2dXYnT80NXbxu+6SDxIVr8TC7RhK8/95rtEgpu12feXYcxVwk+Rw30KZgCWmxtm5b
FwwZF9li4oOyCoNZ0fvoTILoRn+S7RkVR57/4Z0rKFj66FrqxsR2PpUGmbcdORcWLAYG7dq1+wOm
BoA9Fp1O75Plz7sEbo6Otp5X/RaDvX6gdUrtuf3yNYtrNwp4LnKLbZZxq5X4LceKKs2AiDv9Xhq3
Xyyfr6ODCXJdK2vf6wuoVqdN7L2zpO/upNlhVfvveV3amHEwensNv9ZoiPzaOHT72RPTOU3IAfq4
O8Mk4wApe1YlGPXqV92jdsw0erbIFY0+YcchGQ6Ogc66ZPqBdUEa0otUvxi+shauIjk1CKY39sIq
C+JQsKfA7K3wVmcP6ourdzraeyl6sDLcOhleuDrbzlDeFPoAjRgxqmpGnOxtO8GNw3GU+NZbSjvG
wekK3hYjrTdVYvOgEYkX6q722hQkNN21BNEdCEquuu7dm+IY5SZLeZojWkRTR8Kn7FlaCVHJU+Do
eWSiHF/yPXMNEK44FdMIrCvXI5APNp7LabmFIe3sp0Cg66j4H2oYNPDOhrg1xOO2Xju+Td/6UtYF
bV4tA0endifI70nIvYZIUcMgM+A+2xul294mhC/DOZn6Wy/DobAuRkvR0rIUbDNMRngk8a1k/RCC
72m2s+ENrAGICcVzXRyMku6NlsXf4f/LAv+/8Br+H1fz57fu3z00f9rKGxTMw68B7qGwnh8e8R8P
TdrIVczFwfTkgmf5aSuPR1xF8gOePiojo/Iz3x+aNvZxOm90oKSAggk1/51L+IfZ5w/OQmCXQcDV
Svc4vP/g0/OMJtGR6/orT3okRUkYkmlMzTLyWjvYe6P/IuNk2rUNbWXGsuY2tYnSH5aAYIKZP/E0
GrBYxGLg+sR4V23yIZ/0LYnHwbtp7K6bbuqpuWqsInvQuonQWGrBlcvlKm/9Ms2fuRvjVK8XqDR6
jCk9CSYRL2Cf8LGb9pru+g9LbuvMnXLqaBUBRgNbjHxCFsvnJpxJxzFIWYMrM7kz6zkzTlUFf/g+
WZdC22e8202GraTbBxYem8yrkz22STfqxJTvEQfb7dTGxn4sXAM1FOOJXriMoiP5lkMB93ndWnJY
YBeYwTpvy8Fy28vGU0/02sbSdORO6V4Oi0wp7DGFe5+5LvQ/gpQw6xFH90aTFv19YZXEdLl4l9ez
6abmvvX4d9wg4ss62dihGiKMOYDNVHjHtjQsffvPR5SEh6KY/6fJ5n9K2nK//WlV9vuXfR9tTIO8
Br5iSAGwHiwPC+aPT6n5GzBeGmQZcHTIWvzS/67KkLKgF6u8P/KY+qXvn1LyHw4QWKYbm25auDt/
51OKWP7H0cYjReeaKPIYdnSG5F9HG66HbTD46XCdUwB18svAvuzq+exTYLBxhu7Rpey6zfviUHNi
rG+pkK12C1qKnfVKvQwKEDVTFID2xXLbJ/ZJyEpQxIkqY6xM9l5h8EEpRzu0m3SXEK89Yt1CSKAd
MURcT9JNMLb1rvKacrinuvaJrZQINQY7VIoZ0aIxpX0aZ2oKnaaeaTJffAqSh7LgU0Nlck93chJQ
opypOuXFEFgLjSI4lqpsuVG1yyaxjUvf+qhivm8+upl9VdPcqMLmsWNS81SJs1B1zqUqdjZd4tcd
NTSFp0qfE+ooemqgHfqgfVUMPaqK6LEEaa+p2mipCqS7SV4ZEgIbFVZPHfn8xZgUujAy6Z7W7eQ8
qTLqXtVSZxgJCMj5yJJcjWte4TABc7XlD0ve40m4zzwNx3jXOi03KKylG1CJtCd0w11aWPd+rtfD
sWGD199mlKwcnBZSXJu6B9YZsr53e51IeTrE3hhaXmzvLYMUa+jEVD7Gw3Qk7TLsBzb00VrVN0su
r3hynOjKvGp18+z32o6Y8kkD5yRWhHpV0M7C3cmab1Nt3mV98PTPw4OHh6PrfJT++lr0PxVgku7P
1yL1VT+eHR9ZV4gg/0p0cS358eww2MB7tuvga/710UFyTA90CzEetzC+Ye4q3x8dPpV7zIaYsFHL
XQ/q1N+4FfGM+tOjAzcW07WBtOoBtlO3pp9MyaJx1sJh23etl9ZDgZxjkiOqbHlbzOxnJ6X4JOAi
K8M+5MuSs/JAFYqVPtTPQxzqLUWR3jINEf64O2jTLKUazwgnu3eptDaQv5XAFvB71QSMtiUK4TFI
mGkbMJ+d0qvWWvihIeZLrUXLqmpW4HTTawAYnTjC5ZizMDE1WIpTe6UjiBGqcy69ca0vcpPYuHCp
ik9iEpimktKkoi4odc1NU1qwuvohrX2eCUqC0+kGYlTZxT5sYllgovPs6g2r9SM2VQ1yq3MQKHqa
kvbiVl6uSuyjyfQV/0POonFYKAudtnV3zI0LQ6mE6UsHnZm9nhBxEk0j5NZWyYoeayx4FbT6mqts
tg3qIyMH00gPMwNd0uhhPwQ6P1A3EjdDu1w0NuFLvdXWiwFZE0bzs4PMKZTeGSzs6wMk0C7pbjKl
idrUkIZiNq4ZRZReOmwZCXlJLKa0Pknk0VN3BMynd6ZSXAOk1xkJVtY+3jOlymZGauxMpdRKb0Sz
dUk6N7Hot6VSdONiojFG9y+42xyXIeOm0qUU/9Zo/bSL6koZbi3c8r7kEHEDbMzMj1BYlZac9Lq1
iZGXE03kFAA2+1bPT+BqHuyApl6lSleAVXtSsTDggkiYbIAa7Kthg5A9UaVDzWF7sgx+lhWxO7Aq
Wk5io9aZGPv63o9xOfgdWI4Cur/dfc0UBcYctRve4C+ByFin5Ul9SgvjC8vYy04xZDR6aCMKCd+w
MLyN3rLspCLOtNKPDzhiXys+oqHgW9kUnDSIksO9YyaS7l79BBX7qQFmsyqqjSPSvQBz0y4sBqWO
q6BXDBxRAH/opLzq85WPz/iQJvFrm3r+obbwIOdadU+BhwoQDp9bIDtF2yfsDmmTWRC8xeJWOx8k
j5s4n7pUT0+jovUUYHv4PaeLFl4slkQh2Cy43ebDfgrvEOdAoF48Lvkb3Y3dCETCZylyHC3rwLVO
1vVJmgNgXM3z6AzKiB5KhJ51ZqpMdEUcStPuJnedAMB6G0FGhewxVI++AiUkfYrjD3SCNAWkGYVT
iBVYQSrEgliALbBRx3TwAWAwhyPd51Tk+vTzfEAaFK6hdQE32OpT6uNakwrqIKA72H17yKE95AK1
O1cAiKbUDD5pQCFwp4KHUKCIAGJEb1Pyjic10mBJ5ODQhRw/GTAmnG44CZgTgd3djx6OlFVWe/Yo
AGeqeA1rSBUjxIpMfCiG6U1lD7dFMj36im0B40LGmCALhb2o4F+QIDjZ8DDY0Dz0VJeQLgWVoQth
oRjNFwXXY0/hNKoF94zZzZdxZ90WLDwpZzLo+2pOpoJxLFA5bOgcGZQOYhpXpEpu2twjwj/K1zh2
WJ9D9ihTwud260NqzqtnqfAfsQKB9GbzIFLSsWyptmPJu4YY0VI8WkPuHDKq0DA9KXU9FRjgld7+
zxH++xFODuuvj3DCHoP80/jPwc9X/TjCDe7bjm6Q9CNk9FHe8OMIN7lvOzqYRM7Oj0H+x/gf/KYu
79zQud3D/vJ+OcMVd4J7A55Rdb4Hf+cMN9Um4NfNpufphm8bXCVYazJN/HqGz1OcYKSO7etibbzl
uLqiIjWcWn18jUkXovqlRiiEUiKv3GhDer/YCQXYTIwYrFDXkHGApJRtsR2C3o6kU+kHfVKN3bNF
of0oXrjas6l3spe1pdSrsgjVddI9l1WCRzrOb/IWZ2oS99umknY4+rhj/WWFLxO4MgJiEaNfF2M4
aVRZp3CcaWrsz1SywMfxss+j4d5mFqWXJcliMUf1iJ7Son9Bu6QnMxe3K59ctmdHrEI04ZVwfU0a
BTYBfl20g/UlyLtb10WDGirT5SNr3ph6X14O9ip2WOLryITaSxqlfbfi5GXI0aYqmN/98oa9zYlI
5GxHCjCiki7H2bQ/N3XCwx3f3cGWZJA6SyFlG7hFlsCSSHFmtzHG+WytWb41u/UNKvBuEOPZCKa9
gVYpG7GXltx2hGbM3KCWHiDEphsVp56I1MQTKtBDc7Wo/IWu5BClgaTGwO/1G9auD/4AyagsmwNx
7O0s8ocy0CJoXrdNp59TbdjgwcXJ7VS3Iy/pUNmk7+asq/e9Zvg7321OhlO9AnTloPfiC30MkKuy
emOXLHpP2Dq7W2PWm/g570rESWmJpL7V1n5p9pVRs7nWC/0LF5hAhO5YfDUdC8ERUmdmDl8Dme48
M1CV7fxyNkxvmMfkJpdg4qtxPvRLemXXsb/FY7ns2j59x+wA7tVfnmAVPPTrfGuMxjPpuxOVvU/Z
mAcbl7T61kvsb5k5nyY9WZ7LtEUW6hvybtC4/JFNpgNMKne6W0znB6/ztYvBax+WjB+LWycjYOJf
xzONgcAveArjj0gppnQKN9j27qIfVg//hrCJUPSPY49/vmpsMyrJcxRJYO0dLSOeRdCtMRzQKmO3
0UT6NSnaFQl6WXckxJsNSLk91Q5PGY0ago8NBHlkcPIsYeNJtfZHE4Y8cJwn4PB+p90ssfal63WQ
e9RX5mb+yYnThDSM6TGccTQSr8P9fQB27jH00OTnwHinVogsgk+rhlu8y5Tu2cp+GWV84ZYcy8WS
XzGsnBuLWyzGx3NNsCg0LWsErOZBz2IdnffjRGkEpnH6BkGvB+VLTa/kSj1qVYKrl8mTVVjN/aqB
+dNSX7UWOJ88Lb2fmbT1YPrSpnZ2bNLguM501yZ+c46F/OLO8Z6Q473musfU8q+1ANiD7r6hRV9V
lapS5b25ussaNUY9ROTy7sZR7AsUXgrb912eBtsCljp8h9l9lqM8pmY+3MU+ggBti7tqns4uPZT/
rLb+5e/mSf/XRxsJrf7t31xO+aKfTjYlsSku6nej108nGytf1lP8w1llcnx91+xYTNNwREL09xuo
+9P6OfhNJbrZRtHp9fs+++/cTknl/+lkoyqO0L5ymtt/oqGPzYzlK0mtaznbOnPreJwWu42M3AJn
5rY7GCUA4/rlM2gvC5ON/bWz/AvKQIrIUWmYfGZ30nfpuceiG9Y6Vb057Gl/bYZoluMVXBEZ2UEH
UkIMeFTqpzTD41uVd4Wd7yGKnVA171paiWALwaYLGlOyVTIv6oqwGVg3jEoBJhW6xsipxJ9WkX92
COFxlQDb6c7VtZNY1wbs3AB+nVe2x8JZreM6wuik78jfjOm8J7C/Nf3mneXa3TAlzqnG/N4s3auP
iBjI9XFmHQflA8HMIvAWunZVR1YTb/QZypTXpI+TMTwXuDM3qHUHE/sKRiEP7lJqwVvnKkEXsnUF
lu5E/zhdSkhXLe6pcNYEl4HSv86qjkt30l7nztic5gqW6JBxoaUFpcD51XHUUnV8JV2hUzg+rMBY
7PXdR6gDVuh9XTP+cmkATW9NoithKru3lAXWZS7KoxNozLdms1C1Lv1rmc0og97Eq4YvP+xApMDL
gyXIjU0RRw13n43wsNyO5I89e8mtnljGfm3QvVpFnatqiqoIqnL0VOh8+lLmB8uay61GZfU+T1UE
fSVQ7c44+JngD1UcG5ExL2CaaHDa2Rx7O3uyym1X9ea+F1a1ra38giXcGY/PdVEbRzjLa5RV/jud
miA98VVtNWCJ0TIs+daIvWVfUAC71XPYihx+9LDRH7Tvc+y8OTrEPjCJHVV4v7DUGtkdKCd/PyiJ
xDLoPNT1OI7IOljYTyzttkQECquVn7SdXdpc0MN3fqL1HDYTdhCR0FRBDJBcT5GdHG6D+8RMHxZT
3uCMqgF7Uqcj+uZVlDTEZqlL9BR589QE3DISxFNKy9VfUWbWz5N08k81mccQrmp9WAY4EeaM/YSx
wLh2fBYmaYOdJ+PvPbQ6bTj4E4GedLLZ73hD9q1QkrBOe9B2TCrtoPf5bnBwC8U1F0jST2EV1F3I
BE3Rk50PFA1NftQ1Vblxx5yyaWO+zefhzlUSp2QwyjalWV5h9esPBOve+3p97RGHd31jDPiYy+4y
IyS1sej1KbvWPbrLxCmoeSNuoNq+M7XhMQtEr0V6P3A0peZsGKoI6uvEd0VpOYbONC+Z5NIWj9/y
YGjU8864vzaMRKeaYXE7TcAng3Fg14wLriFnz7CWbLO61ug2Z4S1rE8jN1dscelD1eYnL69vJk9u
NM27lM5z7JnnAeMXLSrl2+T2F7OtUW4C4yvyp2G6GPBkH4JAmUZhE9KnrF+Y/Glpk57H0X5vCZTi
tC8v9UkHghl4j6sPDyDLV6w4svqG7EZWsqqOIl9u4a5cMIUTYE9HK6orn6M1MwhNjqkTzYoDOmZc
9DETHWsJas6TFraqhZfQoDl00JL7co6fdTE8NTaPB19vxsgrunM2GS9zQa+3LCzcrlIkO9wPeyOz
gCjY3XbMJauylSxHKcdL5uLPg8tGytPsm2D2/FBUFIb5jsP/2euI50UJiLUXZ3TuA9kzKm7seJfr
or3OAjqhcvLFoTYHUT93bzJ2mdLGLCL+7T6x3K6crajny9rsvwrbO9aD8wUnkHPMcD/k3fpKUJ44
uJgP/NDlLjWJsFfGGpWud0VB2D4NhMYVHVRroOFsEsZBa93DMrWMXxmxh2y6rYfqojQlS6qsfO19
+Ke1dWUkzV6z231CDJzXdDOXBv/uvKTQnjYSMKjMvBu4Eng2xXLs1cg9qOsULWxEdzXOAiqfrOWc
9gCGmdbB8z7QHLNN3frgqXF+YK4HrbohN9mFdSy9sGL2j0ETZOXG12FBSe4GLHDf4oERnHNMW/bS
N6XPyg9TXOLWd3rWdf/MRr/PRhab7r+ejW4AC/67xJz6qh/DEZt74GkWzhr27Kh/v2zubQAoiobC
bYnl/c/DEZdwVva251jqSo5W9311H/yG0d50Asekh+tDRvw7w9GH+P6LOG97ypzPd+EjS1p/BPTb
wFBq+q94cpcT2l42Ymhp/ba4zONyYysFPV0/x1yRzbYv9xNpNy3DfF2lMXXuyT6IycVkxfyp66G3
WIIrNLN6YOvnIcbfV81Ha5bE6g9Orj2JJDnFyY6uuWsjD/CS49Tm2qaEfgMNrZBkUJn7v5VKql4G
pyAG6j/hdCq3PkhpTtz+aRXVYTK5ZlvOeJNNvbVta41NAUDxdZwXdYe5VMwnTFnlY62RQ6o6/S1r
5Pu0mt98rWHtOBTppjPn+8qf+YjP9tO0aJ+71XZD4jNsqF1GqhVGs7ssZz6bd66BfjnXFWiwOI8o
u+B/jOW7E4PXHlf5lYg5uRVhqqdDFsYxV0JIDC3+K+urXnxxlpuUJD6L3k3mTN3BVdU1sdd30WQx
iZJ6o/orxElt0dhtLdOxk1YfvBgZZvFtNndUrtcj6qjy1lBF0aJ/gGzulfNGV62PkIlUhzjWel05
dCxzJNLmKt/Oohw86YeXZy2721H5ewbl9GmU58fEdhFKteNPlSOoUt6gqnW/COUWmgYYfrZyEAnB
XapXriKWx4AhlNPIVZ4jJG6Qx8qHlGNISpUzKVAepbiws8tY+ZamYJCnFHLgflauJprUabdplddJ
Sy1ugcXwbiofVJu2w6ZV3iiI268j29OQ0lT2KWrAMSCuhfCWxAF9/I0HskPODsZIrbxXHSasUrmx
hJOXN76VwGX+8GppS7YNjNre28rJVYzS2XOAv1UzLi/YFTiAlfPLUx4w/ubIdipfmC+AtpjKKxaj
1PKC4R+rlZPM+jCVYdAHc6qcZg2kHdbISMRSmdmIhHbnSXnTkgmXGggsdt36/2PvTHrjttos/Fca
vWfAeVj0psgaJZVK87AhJFniPA+X5K/v5ypxYvtzEmTRiwayCRDY5ZKKxct3OOc5hIXWvZ2vuXgm
MnPrgzhGtt8I3TRQftvuU/ymSh1c6tUwnPHLvKqFxKVSBVMKUSZFBRq6Bp7zGoUMwrpUauzSEsQs
9xwomFRHMr1kZb+OP4V5k9Toeajs0o+8qOadq2n6FW78hgmB05314aK2Z0ad+K063TIuZ1ql5hYW
NC/bVHlzPyvMZNQlZCOGRmbdxZNvjd2TEjUPeVUuKAc9ltmkCazHAlJSqqJWdOb0Xisr5ndd8jx7
ZIHqcRSfz7DGWfWD7FmGq6Ts3ZVlQw4hHbbZe4P9Hufj86BCNIlcEGOe8iHSvvOtMnkylPSQm0Bp
EENuDUBbPjM9eYh4F3wU+yHzPiruU2Xge9EX7q3qWqdGiw8MXRyKpuroqOabbnsPY65MaOmnU7+0
7p4Myl21dDfd4t2xJA/XKrgvvxlkaUKFm4TJvDXYWfhpOZnsGsozEXV+68bXkdqiQYjCejVA0Tiz
1OVlAmmBZlPfsb04ZE546RriQpnYf8ygOrlTcAiUfNkkmIYowdJLXtl8lc921qe7yBgTtoaDsZpk
lU1rDYTSrrC0MHDzOoszSx3KtW00J7ZEN7as11NZuUclNfwkq/lM1vWOrPBnhXjGWlb9YSWiq0J2
Ah23y9Wn/HCRfUIr37SXvUOKN2mrdnVyncvOgsIA/JDsNjrZdyjW5G1r2YsssishXpL+RHYqk+xZ
Qtm9JLKP8WRHY7fWB6CZJcjMZY/B71Kl+SlogqyB7swQqr41ZIdkyF4JbF2yiZHobnPZSZmyp9Jl
d5XCBUpkvxXKzkuXPZjLLmcXy75Mlx1aLns1O4aJMMv+TZUyKqC10ZUlu7tY9nmD7PjICWBmJbvA
RvaDkETxeMoe8fMJ/692W2Vp/+elTvCe/9exan86CuKFv1c7xi8W5YoKNeRXmdM31Y7JVIdsMBq3
38Dbv4+CdHKtuUnRaMMzU6Xc8Gu1Y6L5RoYIDs+2Dcthy/dPlhxopb5bcZhAupk5feZsGSaZRN+v
OPoQMGq+lOBMqfzVLDl3osw3xvnXahj+Q/SOzSEn/rn8L+r7U8Wx1f3Pf+ufu5I/iip+E+SOUloB
DAGYnvUjhgDMVkYjnIkT+sps30N1MdfWMgAeBXtR6REmEuFQ3vfVpTcP501W3zl6C4SGfbIvgFWt
s1bLzsYWmwYSI4hzMyGYikVOJP6kR9HVOPzcmFm/nODEXX5T84a+XuenSk2YjDol9q9GbwIXOItv
cNMyHXDPmmLyPWZXfgkHJUBPytQjKzehPW4QvWPiAdsddNlEfWA+KK5z4ZlYxfg1H2MTYioAgBsU
+tdKMR0VxTr2iYqRQoYBA2ncg205irCI1oWn3THtzVdqNGJjlLPkYeyvoL9shDk8eG77rkfOc1TM
T6204WcDtkZoaicSHs5syCYbHJ072wvbbUfKhm+07V1lR7tEZlvkcXyGAva1FHG2GQu1DuwRzHde
TTVPBDmGwAi90frlWSuK0V/M9NJ0240785gjKyRo7Ox5cLS7tqP+nIphVWnztdMMW8vTdzjvFWZd
ILmEaSQsr6FvxbqFk63O/aJvXN/xnr0eBzyem4GqZdUNJsxf+liXTR3XL93iff9wZ1Rvqm1dIFpn
Ul4yamvYN2nOfNQFXKCZBZeItWSTafkJDE+6MQyxXQrzIoqoyXrN3Hojn20sONMUGzNo3XjPJecd
Q8lrHsRzYCzdfWKjJYhAsqzwst50YthrVjYGraG+qXyLV5GY7/MksbaTsVzqE2KALk5H6DHtFy3X
v+giZ480absq9/bUchpLJbFlJnlVwNdDam+fOwbZsnZevi1p/Rg7XeyTLnTLOicNzMbJdmIwtgzi
fN0IN4wcgMPwFUOgYAqkvFPcvJSktbabxVUw0ln2hG1OnTIMNrPegiMCMFQGqiM2mivkfKGFoptb
bMdnXJkhvnPT+CJUb59YRB0tVctSP6vH+4zwc6YgQiOY3UrklmbSkiBL9b1RmzuNgWIvIQtu88JS
8lrLlHfX4zI1LBoqvo3MvcbbKep6yg4RVCLT9vgPmeCJ8dxt2fEpDMEwtjFy6MZE6gfFk5063XqK
6osoUUO/qycWoZLG1J3XKUz6vtsJ0T8CG8Qi76UkjatAqypyzrlljTI7sRo5yxVlv+TUgpRH8XqZ
ZkbLY/LFFlgWU5FSDQzaNXi07VT17xnrSn8amALZNWnAayRL+9hs4WQpu9l2KEDU58WaM59KvlvN
RIqbN/iAmccNh7qSPlLWZcQ86RuAB+TY95jyjbUwzN2oG5tWi5l9LvW4NZy036gaE+FoNJ9L7GU9
OSRBqLQttst6O2jl5VyJp7ZKmQzO5j2QV/cCR4bZ3AKR9CPXbMNdpRda/nfH6PeqMnmK8rgw2edZ
yF7xW7Mh+FZVhtHFMMPZnk8C0+fK3IaH6aa62KdkCb2UD9RAe6Yvq/CMldoQpFtj/80D7ifHuBSt
fX+I8/Z42g0E8DrBbPLH+0bU1oaDNSr2sJxG56UO957ar7zpWamKXyuKP31c/Ox9dPLxHDxF4Ihl
ktm370M8OgnsULFOWnIOkXaV5+9etEcS+jfv8/3T79ePU84MWLsAOEbG9P37NBA+rEGL1ZNtnbU2
gQd4ms2Hv/7MPscFP35o3/4yP7zJEKtqpxOFcBo33T06qPW4U7+4gRSaXUBHj1bX7Zqdwkbf3R3d
IF8dx4tkc9+tw/VVehCrXRu0533AXwzIgw+q9f1f/3z69yLnXz8EqW52DMtAUvFj0F4O2ZPdtKqd
WLwcwyt1rV5oD7SAgEP8IZhXhydtO/nHZiN2luUXZ2zrr5hIb8Qq9z9/lH8LSZVr/ueF5IZpbPmT
OAT5qq9VJJkH0sznUvkhb1FNLuLvC0UoUyyHdVp9lb8hkd5/KOX5f9Qw2mehSAH6exVpWL9I+BSK
VwcbjByb/ZMq0vlPqYyno2ZDcYubhe+Q8cPBlBFS4MFdcI5IBQ5R34zlRS/02fbTYqxrEI5QDbau
6DqAnEU03VfQCOagIiKcHWIaP01GdwODcg7irsx80Q/bRkQBJz7PQLXUgwoPFg14+oq2OOHxQa75
rHSA58DDsVLFpZ4zTMOnzALxgYh6Lbvq2eDd0CLuPIE52cHnnUPfjNREOWZh6dIUjdjQCiV6mus+
PmHJTexTnM/OySpdHusmchJjZcOkqgIrLNTy1gaEugkJpxLrbtLCHqpuFyf3g1l0uI8z8ZDpXsy6
NKt2SZym805X2wuImQcxWNdWZM6MuMp7dclvB5MdQBXXb6ALCGqJh1fwjIwgetx0mvEaS3Jgq5hH
e9DhVk33Q5xYvoE8UhmVQCnIfYok28msay1wZ0SlXYnfXTPjB1BCLhVJBm3HuslczNv0k8GsJF90
z7ktBvNdNYECdAUfiuX2V46RQRSArbRj8saEP6qz51mGKWQi2akL1UAji7oid29xx+ibqsxKhiO9
sppSfReTxFCOI+ZCkeyN2EBKX7ClhRkpZ3tZudbTBsCpOh+MWr8K9aHwUWtipDT1XZVR0ugubn5v
nvT9PGqUo4P6Ra2gLQxdAfHVCuEmddui9F6iuDojLeSsMxAJJS67IGPxbpyQlQgs8s0UKl8sb9nk
6rQnJOcYtWzN2AYHdbvYu6LEX9CRNtFX1AB2IrLVoBRvIvamYJzLR77SPWqO0SGxgh0tX68rwE09
Q6zq2DOmJSwwPIGwvbIiJJtRrF2HtcLpSIzaSp1ay2e/28mNcRBb1eOQ6u2qivpDzxXsu2GDVyHZ
Tha4NFttqvVS4pIc58upsR60rj96fXKb9uCzE7W7L6L4WhItITINWy2ylT1JXQZcyfZ6dsJb1llX
SzNwi2hJHeCjiFZeksyMdMLTEC67OQ/JvZiUt7ZR4kA162w7W6EKjtEDNzDgV4msbusyDgoAeC6H
qnYuUxnxUbmW8OuhNPxizHvWr+Ic9NgXPB+HZHBJReqSCzutW/iezhkuCW2renIAgVJN4wYITC19
adVakEzRX3qt+TgqUEm41cdVOhe2Hw/GRzEPWNDr6npYar8fHBRauDgcR7KOy4oFYTbe6UTW7hST
b2coc/y6PAFcoS8kojmPlrBudKrl/Vhl9DetvkcfaASG657HI+twG/WnrxamuRFNeplEdmAr2XWR
j8co5rtNWDYCelgzSeGd9KhsNnZOwpGoBT1Qy6C8Ke1boTUjLDD1I9RNbPn5m2pY+0YYKnAa+BGh
or+bnXLfpY7nF0VxX4heX+se9py517aJXTxVs3lmKdUs+RswRM2DY072lZG6tYNUTp3BjTevBviO
SrcIFZL69MFqLmzJ+FiAfVjj8toa+lPjesbOkzyQ2nNOiySEuH0Mg6xlsAWMECgEIBEkrljhnP4m
Lnv2XbWa72a1mpn1QyBBqPBc2+ZNXwCYFWAl2T+GIgAdmzJmqksUz+pxBIu2pn94HxfWDqVlX6SS
fDJKBkomaSij5KJ4Q4MOTRXIHEzxRhMHnKWDo6KGwjomkq0CXXSiudbjwAC8IiSBZXaB4WlAWTJJ
Z4FxgKgbXktipTORxHF9UQBzmYG6FJLuUkjOC0rRaDUZfFvrNn2zJQ2mDtNlbQGIiUxDkmJgxlTA
YzLIeUHs2PnGdRmxcx4u2xLYTOta0HkVNo7htpI0mlhyaayKLJa5E7AQ+sLbTJJfw54lvLJLvd44
Em4D5CZ1EnB/knvTNYDZEBioPnia+RAPw5cMvf0mlsQcvTYg8zHFRXUVlewiyuVuEQXXhrXJxpLc
HQUj4ioCAbyygPLAtKXP01xEbxZYVcA9IQAfJVkKoL6EWoYZMD4gP0hcblzFsc+XrqGXkiSgYZxP
9RDfljotbgbseIOmP1kNMEqIA+jf7KZAFMEiaztJztCsRb2PznxaaXl86oERlUy4g0zyiWpARYhX
z3EqBAjwTqMkGRlpg2uaYFro0O3RA3fkQn7MuxBVtQPayZZMpBw4UmW48zqUvKRogZykglDShuyl
ypRTDlopw5bgq9Tz67TVYJGY9XuONjAqVBJhJJuplZSmAb1EIHL1qZYEpxGUU+gNUAk1dQxE04Z+
BfCpdFHKplMa3TdxjrsgfLJ1Fv06ty6o7w8EJk+WoZCs1h/rz767L94IDPLWUKYz2ND5/SDpU5Xk
UOkAqRa1VgMlTy602gpZ3mRneUslYvJMtSTPSgNsNbkd++Tw3JXEK1ZKB7QbXtBkLBis8qEAjjWV
OqxHyctqgWBzQQ8NKAwrL74ooDHExALKxjABuX4H3umdMdOGvKN+20HF7mr+VADaUFMVZP5ZkbLc
gMFRd9mLN6SvoHT9emS1kkLsQCIkvzVAPDpoHksniOvMuDwS9JHi858k+iMJdbJQoYFADTFWDNxu
kjTiL3OAj9BDklamRkmgCPjRZEvl9kwFtk8m/IcSPmJAIVkkjmSAS2LDJwk98aAZ/OMSXCLC9CyT
KBOj6N9MFpyRA+SkhnbCdgNoYHmvGTzwPCy9lgSjzK5xZIZx10pkSi3hKQoUlTrxzrEhMq+DrzJg
QyaS2cIzD3sFnQFhpDpOXU0UJLwAaOkkqgVxFIG/Et8Ca/SmkEAXENeIm6k7Vy60F0ViX0qz3Ttw
YAQ8mFiCYSLhXs5auq2gTMEo0t1tO5eBNp27MGXYqjBclJgZBq7bNB3xA0GgwdL4akCksUX06kKo
MSWqRgnVmIvVvGBZYb+pC/DOtTq2Z9w+t9GMs4XQznutdlbgEKENt2t3Z0T5TkeRNfYZ+CSjvirt
tsA4UiY2lEPT0pSHeKwqMrh08kMOTJdEQdixGN2RBdOozFfkwTyXqpUogRkyp4gWRySQ2bNDhWtn
NWUA7FUFlrEXIe8i7UlxUiTmmSI2iVkFZpENQThWj2ge8Ea77DLHOdIAb6RkcZQ3wrRRThtoYtL2
wUzwjhYUXkqY9BvP8vaxY77gHT1NCSuX2EFPHSd9Qd4Od0iWmc3KEqO2UlDB8DjBnJmpPNhgHNhc
P3ntqM0HD2mzF583LcmEeW0GU+8cxz659AbnHB2ityq79EWDCNJ55jnWV6qbqn7l2YIOL8/9rHTv
uiQxD/2gvi+A/LdLqoJNHd2dOQ6nBpoqRR4aYlqJFXWNCGDufGlFsTNwevrI0ZZN09nnZkOaBWyl
sndG3yoqsePcPfcEAzlYVD4i4G43jNzRqc4bYr3yMzPvVp3GgLBDfIcablvrVLuelj1nTeKb8WUG
+Sll/SQmY2+xhYYINB6VrmzIpe4vCwsgztzSnGuQdGfAdJF6tMgxzMvxaOqXNtAhhcVc2yrRYVSr
BxIS9n2cPPVOf1d7FQMp2CFwqifbuWH+5lP3HudGf05qTK0seDdGEe2X2Vn26ZA/8wPexTLP1aEW
XMcwhc44FZ7NohofimVk/9qkZxMM96AbyZ0g/OtCjDMkU1t7rEeVCVl2JVjqZrWLl6nr+SZ4T7lV
QauOHwpiUv7dDP0mEKa//fOGfpu/lz/hU6i86Gs/j/PdtYBF/2pT/+zMf+/ndaJakbFgPLEsHV/M
H/289wsFLeJ1z6bbZyn0x1bI8NgK6Vje+Q+zLMaD/6Sf12z+pW8mfQRJmRa1DVAhnRW7Kf+57yZw
8BMcfRpc71IvWpRllrbU2/bTzmAoZayvrRh4+TPs1fbK+DQ/FNIHsWCIQMpx3pZexuMie81Q50rM
4qj30WY2TXxttZFP0vqx7Et2w+th9K5oUz8k/tzHfsDjUN8qCMWiLqFXabYqAjIXIdlUKzsFYZnV
olx00uo8SsVVJrVnNrIR+r2do5LUSbuLxFL46BfJlUC4xvbrqFMBJVLRJqS2bVDn3SzVbqWivabI
3yZ8gPvWdR6R7+2XVrxxHl5gRsktKcG0nzysm73U09VW9d7ObpBJpV0qNXdI8JvLhURshs+lr4/a
rkGgN0qlnpCavcxQWtw76PhUA7zWUOKo76rlgYnBBbFSBOVIDWAr1YA6I4HYRGtrDNGmlYpBrY2c
dYqI0EVMCF93DBqpL8TG/1QgOBzSlKq/ugTuzyasCK1NIdWJqLH3QuoVvQTxm8YcP1CFCclN6hrh
9xgBvW/hI0NnUD9fFRYEmwheEJaBL3MxunDAUEoSVHPv5sy+SSR8wc6EC1PTPnpdOWjILEU/n6dS
dxlKBeb4qcWUqsxK6jNnqdSckGwuSDcLpRSPXM+z3npeCvsCXIkPrRfJX3rAW3kjpAa0xRXVBYy7
m/hc0cuBx1iSRdEK7H8Vw9TtM685TpHl7PPONTnxx3ibuC7LD5xS3oWOw+LgZNW4xfJa7flcanVt
qjhkCab1bkLUj56fz9pE7n3FOGC0ZghKrWXmQT5M0VabqzhfAaPUz508H0Ab2u4Ot7L6+O98kwab
RcRfagJxh6GS/tJz+pV90s9/xFrL1/1+IhrED9qqtO8h7sC2/82Ek2RCRvREV6tfpX+/TThZhkub
P25Agy0B/h4m/L+pAk1Uhio4PJbOX+ei/0AV+P2mwIKTphsuvB4NgIkOEOSH+WY/oHQllUmcBvUQ
oYeZr6tu+80z4ifLlV+X7d9vClRQQCZEPgv5Ib/v94euRph8mmZdfTIEK2mpfelYQsWGXhqnWMVz
LVemU3a1VIntHmVI2CMnhJ5duao1+7FaTPpBt2u/IyWmicmgQCVoG8l6STQGAovhz3N+CsnkyiuF
7DAPCW9106vs4+ZYWy+Ncz0l3Q4CR4FXioibpNcCy2wOZFVcKm72CkTyRUE8M9T1HrHxI7h2yvkk
voz6bu3q+d6Ju2alTe0HvQ2ZIokIck4sTIekySisw1ZknOyakRpzcNI7TNyN0SHNLR8jW92TLQIS
XasP5Ge/5yQMrkJER/VcvIc1AAO3QDhVqRPWAGhvWNPOw94RgVu2WFaEzuHsqK9TVx4MUyG71ixv
Rw1tpa7ftRN3t570D1kBGDSexVtnm4fZbMtNk9ZwiycReI1jBFYSWn5YtTdtgtzeMbHtR7NxUUQs
DfvOuMohjfKMGx6V1NgsgtAVnt9I8vX+I3VIHncTvSIHoUJMYZ45ojXXNVT8VZ416c4mTnDF7CDy
pxQhU1LrWNpGFz0ngEiNLDeDywmtV7m2hFIS7Z3fQv4Fb+5mT0rTmitd1HvCc9Jj3gsNQml2IBMW
9oLWmOAvI0Jx34y02qAjAzwrdN+cGjq0vHwIFwwsYeMycIq0Q+sObdAjP1wc661O0AaJuT0bHPPN
7Yo4cNPkwy0onyOijAP4vrdRY3+YifDVJnknZlYw9kGLpMMt0CbXr6CQjnr3qqUpyV8mY2HUE/s8
IfPKHPtN4hIONhgsRc2uRzypqB56tuE0eMrdGKFRVPIex1vcytn1TTT1TQDWdfDL0FjnYKzwQzjr
RZ7Onpve6HjxgOTQEnnjQ6ZSsSez/ZGm3rNFCi7SANa4xpTBWQ/j7AK5U+tHaVL7nCt34NtuStOq
wRcYl1HuOEFcxYIv6/Q8pjnfHtHA2Rd8Ho6zPGV2yEqf5/eYlu+mJuzN2Kp3WZTTp0CAnxRJx4l6
5lfKR6+4T5hFkFahoXUMja3EFBL1glHCrkBgGQhQ689lsDDbJtzVfBoeqpLm1ooE+kE741vu5dld
BsZxby1TerINcds0Os+g+r0AXwDqOCdEof5CeBJjaYZU4JuZpmUCu2+bpA+m2aPUR57c2felt562
czyn50VFv6oo1+2QerLSyBvsAAXe2ZH0BsWZqoB4u8rvcstaMdLxI6Nm0Y5YGKsytRj8ZvwYNfem
zAo4dpXzGLvWe6JOzYpjDQbxom2KvMZsNZ9Rzr4o03Am+oQghuEpGkwcC4tx3ZbaGjjJdaUZe6Ep
1/gmAluJ7vXMfupci82OeuaJSEImTsSQXSxdv1kYcOPR/0KzltOTpkHW9dkaO4CfQT1xuha8AVM+
eMxHB+9l22Q564AlYEsi2BLRpqeuwqxWuZz79r5IvGwd6t17B3lBb6YHpXu3Br6Jo+1sDBMfkh9i
9ixWXigoYtNhVpS1Os7OvRON07ZpWt1PI1IkLLfu62NmGI9FZZJQsIAvGEsi7/KUc2uVVWaNThEj
2rafq9Z3c+oy1yjus6bbgFl5FCK/hxD1pBatcaUO1nLigdds2rx5aXRtH7fGlyl0LwmeO3o56dI4
URKctqTIJc3o+kqaJ5tiKbxbk6y3i6iIb5IoemXboPgiG/KzlkaRYrNHA1AyZzb7+KnUuYoivk2S
Kg08QzkMY/c4kNHEmNEoNqHUddT8fDhcePYQ/MUZMCi5HXRDvVwqPfhbO2VkO4PnXEct2Afu8u4h
9LohMHun2HE3u0GT94Fpj+Nu1HqxZTJF5iFaW0SJaky1hx896pnYM4KzdiL3tB21LCFl/XVnIje1
tW06ygJVCWGOsENabO2WUvux1aabyGrtPZqrR6m+XZnREh7/+rH7n+tvFakLgAebXge55Q9Pdjsf
atRszXCqXKIUtMvUvbX5qS26hfTvtADfVxFy1U6nR8SqhuTPYfkqu65v9BNdV029LjpxcsN1mN03
8yZW/mad/3dvIf/8m7cAN5DnYsjFqebGBH6zisdns77568/sp2/i0Wg61Faknf/wJl2cZVNaCnEy
2tumOp8UkBz7v36L/7wsUi/5x1tIicg3v0fPBDcC1SpOpntTNJsFuCpVSOm8pPPfvBNL8G9a3d8u
yjfvJH+Sb94pj0ersHt+mWZeVlrJqko/DAWDEwTdoKaXv9Gc/Ke2RXNRdIKpUw0DgoX8cb55ux5U
9tL2mqADetR6WLT2bRSfzcW/vcavoxcNieqfj172Rf3eJi/5T3oNXve119BoKKSAyvttwsJ9+HX6
otm/wEvXHA6Dz/itPxxIBg2KYTgqxT8vxLjESfHVgaRDGwUQglaXLoFdyz9SU6DO+O4rSSwH6SGW
jv+JU0m2HT+cE9DtwQwqzXwxGWz4N1oGKAX2JcrWD3VZSotSC8wTT3eDbeyyq+wsEzD4p5QTzMad
E+rMSF3irHatNjozrl39LSKs1Cer4wUZ7U0WZsVpzpBSNoutbwwLIDCNVHdR2fZHXLs8cQu94G6Q
GvVhACLREaXU4z4AX6xZ5wtzyr1SwhleoZMrZ3+yUUykadQea9AsPE28c/bW2ZlnJ2XQ1WLeINyt
V32TYXZEouqjiGUTj2rkaI7zIbOSc7fqw7MiybNNpnhMVBkukQyp23iTIaltJo8kB6PnMdxQ4/la
5tRBM/FEbNwBxaSpPOWc3rU9lQcnHm41O1YpdpiPM4ev/ciblWOb2m+i5EHfVI62xR7zsaTpM8P2
roD8pRV7EUL1qM10vmPHFLIUji8iIB77IU7f+2jRnyh72b+jCNmMdt4ETpeT3sX0AEyGV3pnoxJq
a1uoysGsJ/XcQiy9TVDLrqJ2sM9bxwG+GqU3dEJ7Ec+3pKyXq8rEkaO61ZVjsyxE4QuWQzVtylO6
uCVj72GqghkVUNVzLR6kuaSNraexJuYxVI0MB8us9Vt8wzNl8tK2dnsZc+1GLO3JxUywKbKKiPSB
Bo6FKkiL9RTQF3iJUHswObH2dT/rt4o+5MkeY89yaMfSu0zGGQJdtbgsJCBGGeGlx26C3QBWk1Hz
snMdmYYWFcuNibdqCj5v2n+VYBq38p+fXmdJGXU/Obp40e9HF/gjx7QAGGs2Wgd5NHw9ukgiJNWD
oa3pkDokH8pfdWD2L3DeXddx8OnZn/Di308ukMcSdezoHIWkqDv/aG7syGLpjwkGY2Nsnfx7MBZh
SiBT+3GCERo9cmQyVkj9Mto75FCgf/xyLrQghq/jrFzGnQlW58x4hBk/Md4V+ZWqGIAQDIKI22Tq
E793VIJRZtfumn1RtcQ1OKOBxc3qoBB3XXjARMOiscqrJbuqEHzVCL9sLX6ehN7TghnH2S6bwJQq
scWZUOw08Ss+Nix0UkvGAR8TJKf4EzIzhg6ZX+jZjPOwu4m18LH+FKUBCGTfnn+K1TLiuPxCKtiw
kaFfIdPMmWy/Gua+vDCVGR90nIISS8INQCSBiwqvQViO9atO7FmERd/v7SL0tbrcdBO9dFWkuyZV
dgk4JrJuwbQbbbrNiYoN2I7eJZHypl/U5XxRmVlAUCwfT77QEuXhrda4V0Wlrr2ZvKHlSuvtOzF2
D2T9rE2UEd7/TULo/0PAOLfHn9+I5y/Z+0/uQ17z9T7U4RMzwWOF47Iq+XQq/34fGvibTW4orC6/
JYJ+vRFxKjOkVB0o9DDKPu/RryWE+4stAxkcgKEy7QsZ5z8YVxIa9uOdKM8A7kaX4Sxu1x+lzTw8
QVk3pXWZjXl0RlhME95MUwYS19YJqBEmwJLZwT0CECkAAJLvzZbhjjUo1i4LmUcVs04RLFQexWkO
jlEa3laYs5nRoS9wLYZ1IsXSR37RQfFS0KEL8v8pVzfEKvPEQ0fnLe67lY40lzNiTkzAC2uHODor
wRGRZ7BRPvlEklSEwYRnD+yiXFKMOskzEuzzcwBHC0MJoUfXjSQfqZKBBOFixMzW7vpFO3qd9462
E9CZe0mY6J4e7wZ54FYBq6RIvlIZVmcNwKVWkpcAiT3mWOFckEwFaCai4KcVFVi8MiW3SQPghIJl
b7j1OlXDJ2RIL4MkPc0j6X1ZD/0JwSdMJYBQhiRDtS1SAAdYVCOpUVmrs6bJjw2rd7QO0UUDYKoF
NNUv5UcvyVNeT+RpJQRJkPWB0BbHLyoYHeCqyG1i7Qy/ylsILczY3Ts1bCvDmQ8LsCu3ja9mSb+K
+3Q/SB5WI8lY3swxKFlZtaRmpeCzdNE8ZeC0QEZVvmW0yyaa8RJGdfxGKmHrz1hCg1KbtzZgrlwS
ukB0HkvJ7BKS3gUJ4b4OY5OohI9B8r3sDNIX1QMVmUVevKN9KJIGxpz8spF8sEWSwkanuXUlO0wB
IpYBE8uxsngjfmtzrPxU8sasqMxWk2SQzeVycIGSOZJOlkpOGfOIJxNwGRrZ50ldrhrGDlQVT6JG
NtWCOsOthURRZN4aP9GxcOZd1sFFaz8JaaDSJslMUzSLAqWONik4tVly1VC8bxxAazOuBqy5LUor
gNfd60iDdj5ZFgVTIRdAPcP4PBByLcTvj150lrsiwhfZG40sQJ1V7zooR4ka4krpDiO2JuTFmfzE
Sa0HqRYi0Wf7sfEUxEP4vcHooW2Od/OoXi7cDFezmzrbTHHFVc18jchX/WAYqeEjr1kZDa9Zklq5
TKOIDKNJrdYG37ZVazUGpCBtZp9lJNOeeaNFOEiVHFx3WrbOaIk1MqeeAT5KUHUcNwItlKtGl8jX
GJfo2oVBAusKstQVK10y3fL02Nh1stK1B+Fa801LTvdTCfhppTewRA1KOS1s67Xb84VsbSNDURKt
RrPnQVXWxJTCkYFwgpG70MFxOCWGI00M4xHZJW6gyls5ynyR6Wj+PCalAzU0FmFGiHrSvbaDstVQ
Aq9GIlVKG7evabkHxTWsgxblblDVKVQ1RvrPusNYGx22IM9qtFemfFCWsYMaDKTSRiH321/6RX1r
NP0xLYpw44FPWYtWuNtywVOVZbm1rQo4pB1kKkIGmmql6fL6hnaxWszwrPHibS7EMeGOAow8HFKv
vYoFv7WqWMT/Vmca+fFJAX2x8lCJpEt7QUPv+lOMss9wB64QEV4ouDYI2OdNURZXsZWYQSulochp
z9xoiFaiVreJlT0hItoOSnezZOOIn6VlxYKFibjxi25o2Y0PGK8R4G3Dut7ZQ/cRGWEcWDw8gloB
eawx4dQv3Km4Lbo0P/fi8VTyidI9JN66qKyWGkeFKNE/UPpg1auBTbjvU6VrzI2LQ5+JaR1p0xbQ
/a+zoH9LdeN/2Tuz7biNpOu+yvcC8AIS8+VfBdRcLM6UeINFiiTmeUw8/b8htdySPPTyvW/adtsk
RRLIyIg4Zx82kH99Q7h7+dKQcFB0f2LcWD7y93vCwiKHJfJ7zf/hvo4GBCEHDoz/3Ab+e2GHU65j
fGLpyF8Q71Hd/3tP+MYk1U2CvR1kIv/kniAWycjPN3aaAjCn4FPIbmKS98s4itVM0c7lNF4mivza
6ONqow9R4i9bityeuk2rpKieUK8Pn8ckP1acu1uLeQSoXQg+gQQijJtCuw1Dy1ccM0dTVABdxGZx
VLv5xQzEfOX2HQynuvXtJF22+sGd3ivWuRiATsiBEXiFAeGKwamfhNFjh79iRD63iV3nAEzsYDTa
RzrJxzHKEVOn1J0GPIrYubgsVm4CGQJmWUUWJ1OMWeqZN6lGS8tPqB3SlvfENh5GS3lOB+V9HCLa
djSe62mU2ELK/K3O8YWmqoJDcugR0gMJGpdxyuBarzLiAo4ZT1tn9kCCcN/FXi/Lxygvb4QV+laJ
9suWrDfrvhsYkG/7ED/kHi7lLYq0M9qY95mBgyyuLa0aUTWmV4Q8b1jyPOW1DsAt+BIV5v0AvxIA
2IcMgcfGmbhxGilJq0QcNoTtQ6l0AvpLB78yizICTrMJ6yZkhcZCJYku3WMVauxaR03WesY2jRQE
G9YKUYZ5jCG2DRLXB4oAkw88dopHc5Ur+rbvleTWxPfqTSKjPkpWNlqMtdYsFf3MVgUkQzmyc0Oj
fJiVhp33lK0MpVS3/dTu0QXEOGspesaCUu6/UpUL4H3hWbRz/pS0puIy7akrfnwEIk+6BXuW/scv
TOeDBe9uioZL1C1+5rzt7HMXdK373Jhz/JZnJW5wV8tc+iot2Jgtwx1bJZAdVkW/DoUsNpUx4qCb
RfzgjM5j08UTekD3OQWFh0IEXetoJMJTqp6qL517txjRYZsIP4J+myGkZjimPSg98IUeXbs/BXOx
HcYivCXQumbLJIpLu2iAVX6WOnqdifCNe54ATM2Gza2mzqbrQpasvvuxYk86vLZcHo82xW9tJdE7
YNsJtSu1OyYzVHFKGCJqj2ZFQQVru12/a/qg2YnGyu5qq84uQ2kX96mQMG/AXEH3AlztdF7XWcpq
7ucO049J8hn3qD5QECHofUnOrryMnRus6bdRaKal65uxGI8dA0uiHwPr0EmEf0G1riMw3dJgHcpy
CH8K6aWhgQJTTIayVxR3fOY6M6K+rQMvdroCZGuZfkl1s91l/chFr3aI2YoAhM2d4zedO1Pr5gqF
uEnlHHUtOEWh7pydQUI0tDHJZwouVUD1HiawZjOpzuR1aGDPijNTl5lqrlJzmv1/R0ffRDYsJv66
Hp3K9v/+XxG+Z+9/NkDiQ78XpCUZi5pDfycYHPzkJMRkCOnaMY1vYNJFgvO9cTV+oxZRx1hd0FIu
3envBQlSN7oYzIko7GF2E3j4DxpXOuqfyhGAL3URwZDu49Kqqcu//2E7koDkccbCTa763J9NG87g
1qiffvjBXH8bR/0djGJpsiGfmuCVNdNgzm/+svKpAdSRf2UmV12ZxJlXOiqQTBdl3zqABOonegsw
m6YBGoZTIJGPknU2B8eBvu5WraKbLHa2wozi06iqNKWaYq412NKrTIvVtRoS4yPyfT9E53hwd1Wv
ndR5vGmlONdzeZwa/ULe10FNUrbFAzK3RK3djb0QmDBYS2jQ7hukAMBfac6/7IBPoEr7iMniwudn
oUPkBHNdmgy5mmyOWIkZ0TqMypxvg3GyvU4BuZi4AupAP5dItruCjYEwHgPdtbd2ZurPIscLqbCi
2sZqGll+1NdV5peyTp9K8A8o+jHt7UIX781e0xFUc2V3rizZSu6Q2IfQ9zkRlCe90p3HWdSAJGuR
bRtltsytVo7sxteVxr2jXvdm3kkSTSZTuQDgUM58/soj42CVLoKBcsmg5RrrWRyGWJoIQWtsJ97p
mZEe+qm2nGu+Xqs/mzKE1yRkSUAsspzb0m7M6TrSEHzWoXSPbmPZB0Ql4Wf2O8bTYIPddDLJgLor
emPvlPSla25A47xzCKmEVTm27kNZOpg8SRTz8R4anqimCDA1psQ6DOV+EObA7aWHac7P/ISVpn1p
mWBMErG1nByxcut4r6Du8G0NYypBtuMtCqFDAkDVd0vNvQ2lCUAgwdHnSDfalFWOEyA1PBCKpL3F
T05uDid+dYNn1cSQNx0TylbQME3ZFB+suY98m15s23WZti7cwLhqowFzgqzbraUPu9Eo0LJMor3h
RNcIXczPIJ/PeHsIjmriG6M090RYET5iZTvwLakX6up16453nWYPDygcnA9kVQxdUs8aJ+ujjHvP
zOHLB7V2ryr9JrS6jSLK1HcVsrsdWqGJlrC1qre27d6LuHmXiXxknsllYDi4U77hAGGdNG/JfjhL
Z/AIHd4RqneaUQ2FzfCqmj2zEWWTkfKgQ4VrevkF1SdRjl8Ctde80cp0gi25Wqbm8Nm04tdstgzf
atP2QFsMlmmcT3B793oozhbMYdBsnyt+fW3H7a9wbJ8knU0onF2vzsQ3t36YB0D81HoFqB7hVVuo
e0TNiadJuizbvuZ7vDXJmvCmeA4ZggTYgwY1PhPfjCEiEDddRuEinesYiomHGa9fVk8UsMDmKcvl
0eUlUktAX27jTRgSnUo/GVP5BP19nZr2XS/Cm6KuTjb/PAj3lPfDTeQyghGVLwIcuWE4AfkgISeJ
oOL3TVmuw0a9SpX0uUy154p87LhNj2XmHJJeu5lHzcvwUpVZdiZUel1ntTzOtk08KQMqB2dgndq7
3jU9t6Hdjwi3kfN4cMpZ7uuZABO8rQRBBzbcuSLzZAhK05z0dFu71TZoEerMUqk3f3/y/slmU3Pw
m39VbLIH5K8/n++R1PJWAj27KutU+KRxAPkdoEoDpslOXa6Pnk26V1hGOZve+V2r6vamrlP13pkd
8lym6bZvkpM6BV7q2k/q1AHKsz6KNAkJlEcvFiaYXRlbbcqZZzoLoKsFZrseQcHRsAzCs51uhxvn
FYdyv46T9lGwbfXRrehrjah12FrrsV63016rUsY+QbHVkmYrjAFeCeEDuf0ms/wO+eKhx6k2t9mh
7pENV+XJaQWw4lFivpDxTkyRuYaVQnw6Lo4I6nVIXfJatb01ZK+tq8g6qJHLe006IlJGDUlTMz0k
MWlwrsVcTUhxMWJYM7VlsV+N0/NQzVdRm+zT0dya6KxoFGpysFOS6x0cgbkTbhQM5GZYnbIQU6Bd
iEucjUeQnTvqGorGCpNtKVtSuJtLmmS3iFSY7dCGeRbEyLVekX/aNNcxt10vn5nENk3yYEAGxyEe
v7g4f2Pu1cyuKij88yZN68UUudWqHFqb9jnJJSEWFtJyYzdyDult+Va69kmtsTGFrvIWaDAfK3Kl
mHAAt8xyba9Uy1nWnWLb+iRUeI0qYElsW59lLjTSD2TqA+S86LOpeRgPFs974uzwVfaPJYSgIyuU
5pyVY/4/VCG/9sVcESwkZ3AVsNk6kEd/flCZ9oxTQ2bEVdDHnp4cGoDof/8y/Lwr41MCg9QY0NM+
Lts57ZddmW6xyHfcMLzKLPi51iXu411c3TYjTPSGgAkw7G7y7XL8l2AVdg0/XbD++FWX7/uHC1Zf
pV1l6IpyVmVxhwaBLQB/Q1X8ROCxXMGvTtadYz5Zgb4fSMKDcIXCPyvGxdwZl+uimT+Vin2KO8Dx
KEY3mTtqr05k2F6uJg+Wk49emMqjnRmfrSCdDlqmWz1PU1H6/WwXvlMpgOYr9Gx2IeW+n2z9tSwg
7rAd0P04jr9kPKt+rVqRxwksPdCX6nro3bveyGYmqOkDI0Gxz0NE0bJ7Y9q2oyjdt02zsdoRUpIJ
lluNFCb43FCysSi2cu7VdY1J1mtGE8d5PN2KqEAZEA+oCUJrhWXryEP/Ubcj/Moq3jcGTKHRuJ9m
xJVqejA7vFrN4kmIA2K+kg6kmNWb+3ROjozcvUIGwtMzFalkkHLKqk+DylghTvKzA4q+aEZ/CGae
YNVPuzBfQynzyiR3QEEmoLyz4FzhXcfhsNNKi1DDcLqL6CFXuF5oOUE06HoHqN/utuBaEWb05YsV
1udGzW9q4l+bburoqA6Dib1tMHXQyw4nIv1tIWmzA9zVQ9NfVRY1Eh7EvmmMd4fGFsYgemrT2IaV
cbLH/wBd/vpx+1/POB3Fj0/bCMh3ENhjzsmpuA6vlE19rB/Beu2BmZ0cSs/6ixhXTH/PUNSPf/9+
LUkKP/QS3x911r1sygVhQMsf7odHnfxXh3QOQzlXHjzPk1hXG7pv7ag82RsoNw8XZX16GnwgTsML
/5NdyZO6OsSb4EqHb/M//jQ/Nzbf/jA6+CamdhZt1K/oJKmOLA+0JLqK1GssUGAUnpph9/ff8c9n
1h+/xi8wv7nJeyWKCKss6/ewAYx28/ef/0+/B5tlos3ckWncL7/NfLJmths1xVu5rkGsNSZ3zm8n
1L/j5MUy8tft+/kFT8GfbJz5oO+N+9eNM9IPihLtOxurHybJbJwFXj0mLewIUYX8t3GHGwTbiT4f
UcZ/9tTfJ8n2b4udxaCjpwIZNMP/pHFnffzT64b2A3WJi/hNoE5xNT7hz6+bw2wAVoA6X/Q8eqx1
8vAySgs2WVC72kwOX21tNQzyplQoKu4jAmFWVj0q9Ny17hPHOOtlt8+TxEfsHLSebcN98WNuww9Z
6Wp+KdSbUCEkshvjEFAFyOdXxpY5fnCNkfXRDgZYjmahMpHK7GTXdtyqc0KpblQWV7iUrbsxXc5W
0CuuiT1+KnSvimYoeFN5L6XyiLr5QS/NfqUKNjtqM+4tRV6i2DlouENgeXxpIAKZaTGuwkS9rRJx
7TrKoxjawos61sRBt9zSmGf2QfEhG1KFIqFtiMQLPdFQ3UwxXbpGe6mzZPLMQQevVUZv9ZjPXqfS
criT44dqBwugJEYytS07qLCuy/04lcqaFd9R6+2LnhIapkXHubfXqhbZrCgjehoxHJuheopU97PC
fJLeV78heNTvTBTo8cw2L5kfumbcDL1WXWnB6OdV+SFUjdIQ37pAsOnx81MV5nstl49p2x+VcvhQ
G1N6qiLtNcsK8gDBoa8UJe1Wepbu6lZhnhhZa/zhwgsEFcXk2L0IWcn1zDRhPXQjEn5yQ7vFRVkm
NMk5lGffSdN5XZAKxarA/hLJ8FDobKW7AGclcKV14Yi9a+m7vm8uQYYoTucucEYYWVfw/6w+33Ym
NpMV/IW93jXrtjXP3YS6UC+FWEMH3xhq8JqiJk+zCYBPPwGJnl5Ci+QVPifxdUus8WJ/idgvRrry
ojYYu5oB2I6W0gygK0AgyTiTH6zvqGB8RB9Zp2zUcXAUzV1E1OGV6HL2hCJkGmC7iTc3/Q78LgN3
KzP8bLA9J8+1LXfrbpPx/F/1DI5sxdgrdfvIQG2n9uJxHDptHUat6nWt0Kg9IjlVBeLO0CUZPTJR
IAcDDKJiAjuBuWkJctbUq2rSxQ2GI3sXpwN4+Yr7SnjIU7j0Uy1eKEMmG2kZX2wdlJtrGhvp5Ju+
a0eaXqIRzLF4lW25EUP8qQzxyrpYLMKI32eSyexigH5nkL794VD7k9HbLxVkif/jtGFfoiM5W6aG
P58RlT5hjVVc7ZLlD6nxBqfyf17c/+RLuK6NCE7ljIQ38kuRklU4tUlsEdrXvvbptazuC/f09bv4
t0YZ/LD+ukbdvRTdy/+tm37+Y6FaPvL3QqUtKifkT9QDwtOX8KnfpVGopghTX6avtDwWasPfJ8z2
bwJ1IrIRGwQhOsIfVp4WXnnVZBzMwNDA3f6PJswkZv1aqL4a2ylGqKyXCKxfCpVLQ26FjlNdiiku
N5q0ICwKlmDZVDzFje4ALWuWdFbO8Sy10dSa3b42tY+hVOFd5Pl4GDNOiTyCotSp/S4sQ9/k58F2
DxRLWfSk94AJT+zkdQzwKGsDJsChYKeUdUPh27nJzbeS7nVU5w9m4zSreiTPFaPPSabyIQwRCanx
U5Do93keFxdyX5U1ocQj9BybaCbIroc8i54CA7R/irLDSfERTL14x0HKuE4o431Ruzv0ZsekIixQ
ncg/bickVKx5yyrbZ0p9NWBxDAlmMdUWOKs5nXJ7OdRQEjSyJIEHglvY6WTMudE6CNsvkkUiW6Nw
wNcmm7UeB9swru/YIG2iyUDaZDCdbpp4P2T2s7aUJcx0V0O4cPbncB9M9Ddg0HdRGWvelPYR0UPL
bnW+DYBn7ExF40fTx8MxiynJuRleuVV8wP5I/ESW+XOnvCVJ5q7iuiYEoIy34zzGpGRiiFcGLHQa
mKfFcLbpM+daDwscYZyrXARQnXf6bVLZrC/fhFN+4PH2kW5OfKqFdqK1L1EP1bgNsGsZdkd8LowZ
fZGioJtHZTqwv80MJjmy3Tmle4vttbyuc+1cT8nkq7VW+bFZtp7gGd7OQtwbMwbKdHA9RzEfkHG6
h3pIdqnNyMaqgyu1rYa1E6Qb1hDHtuyux6D0ugwQ/FhsyolUZZg2T67RGttiEu46WIyZboYJJrbP
spafRJlvjAJfzyirfa4Pt0OroMKZx3e+8uRPevaOIEu7sN0maUiT1wxs2TWn0dntleCE+OYVXhzT
rUYT+zgsrOdIyW2/thkX+rIglVedN2YKK6mBlnMVDop9qMKyvSHfGGW5LcMOzVKFgNy0nDenckYa
T31FDiqWPJIqIR9Lk1GeHjSfXbjHa0MSTowu2K9Jhqj6dNeMOHF7kx+xQyabkkfzg16VSN2FHBlD
2XcUy2Onyfclr9LTUvM2I+DxaIESY1J+tdgbNDcpfMJWCSVuo7dkrtx9V9pv08IP05255X7ltrgL
25sORy4v4jnARuHZzVgdWB2wGLeVFTFMfljO+GNDp1+RZsZHTAMIojGUm0QLPrIK8F8jMbvlnXoZ
or5cWz1auWDOjrUoVH9WrZoQxtlToMhASTqMiWg96EyfE/hg0LO67hThez3rY2O+k1GW3pcqxTob
HKksjC5cbf9Wp68L0GWW9dfVaemgqvLPIoeXj/temzQ4KYsUh9qEjB6Q8g+1Cfk84IFvzRVOwB9L
E3p2DVaqg0Lm64bz9+Wn/ZvmACdjVwmNxRbWPypNXyEHP4wsKHIUQAaDFCadTSz3l5/vR0mjpMKe
RXTJVTRq50hAzZg0NXJgDxVFeF0qo3mY+9p6tiJjpMVXCoSZsMegUc92++hGRnnnurE5L+qAEXxQ
YXdPrU5UcL/gKn0rSpAFxsrjJLgaTyGPfiZEuhaTde04xbYnYrsfsKRl8mUM5xcRETfOuMxqHXJu
LHUrsjzmeo8ETkstfxqgASjNgVkVbp4W0SPrHaQ3qnxJ64bhGoq8FauPBbIEVEQyxF+TCLXgkaYF
kUcCSu/ujbBpVsOINTq3bo3BvM3BuHupzqw9mK5mpwk9d6BrKuq7ShfPkYNasSTmZ1MUSQ9kbwYt
G7vEtw0lp7Rh3iaWfSIt+ZPIMRNZRXbC9Hzso7Rf1YGA0tfaHDVNiKBzrJx1Nae3Q109kL1YnfWG
1x9Cp0b4DLraBmQAxMNFipmheu101oNTEWYnzla8BdUn2GbDutWA7vdq8z63jaQkL5Edbb/LYN+r
br7TUhQdtp1syJJZY9Um2lYIgo0RIkcJPwPyO8Z1ODjmLi74O4OE9VXhlo9FlL7ZLngHA2N+lX3R
0ujeKkGZdl1inKCj7pGM3sTVAtgxbcp0XgarEKdRyOafDse4jSzr3mjwFTFZfLPK4og86raSDosr
FahnUdjgFYcyobBPxyLW1p06otkti20WK+yjjB4qJ0l4aEgfE6tlT2CN8UabYt+qujtYkUCiR3rU
SHU2Rm0PV/3CPrRl63SIc/ddahF6n5sTeSv9zTzQaZl6dFXg74bjBbozkf1DI5PXYBiZCEZNvzIN
dQMG6ImL5SebvCxBu0weNkuH5Y+hDreKdDZ1MF+yFIptLDZucM3DWl5BCjtlbno9S+s5ttx8U2Cc
3jRTjE/dTbu9WklEMTx2mpmcSlHSmjX8wRXnSbEjIg5MbhMauaZrpVmM9emVWeUXYLNHeB3XQ+vU
pCCgZw5tY6Po9TOMG2Cv4iEn1ZC4YArkYF1kDB8TXetRcVliDTWjjaC9R/j7Ct3z3Fj9uwjye6RO
ey7Jp2QAs69CsCQZ0SXnp+T3ECT5W6aNvGJziFtmytB/FtaFb95adWP0qW4Q4GtqfhGBds3gdlO7
6auikIpMJsbKjpCJ5np+vdhnT4XOUCTviqfIYlhHUydWilpkRwXL89pcWG4B9oW1necvYxAQaCWz
G60NPmXAS9c6Q3i2AcbOdeZTVnTnXuM63BMMZuUvzDqgB/JFR3GTEB+WBXDkwKG1XGIMePp6hYsP
+si5Z/IErs8pNjItPEMQ7spBu5JmdEATqB9j5HY3LciG9jAN2rKiLIBZCp0kDrdmZ5w4T33OVS4s
c1LCa/Z1mzpTuy1LRHZSRVl61WSI60kaByaT2lXEi7Xmd27iFKZvNoeGX05nT09zja4LvVd2TIzE
3Hb8CPwxU7Kdhlx5hcnSJtWT8C91NVhdtOsUEpcIbeJLy0rVNkoSpP+W6W8GXUFT9zdl+r358v72
xwZy+ajvRRojG1dl5h//7RJ/byC134RB7YZMiE/mawrgd4kSuiYKqr2YxplDfp2Pfp90Wr9hXtVt
CqvO27qY5v6BRIkowD80kDjsBFp/RhiCevJLldYVMQLiSNOLphpdc4DfXJFjN+SGAjoqtRmsfSVA
9nVS32h26vWogRjO76b9Xg2IPwY9G7FnSkBJRgtTsgIuCTGgOaoTvKtPARZxnlpkfhL50hrQ2oVJ
VOKZCWnIlTDZDeJ3A599mZRsWLm2eCFZE5Zpkx4rdb4uLPJG7KB5BHK7haMwb3pnepzV8c2iCSLk
gE+gz9UunExmgQ4hcq17gy+dBrcRfp7kHDUaHNdq7FJSa/JrotkoA6pEyTBpF3SMNwTyLCxUJOeh
RbDt1Di7wULXn6fjLrDEZ6NCbzCWsidIjFFqWdaDzwgq2VV6ji4GgQ/HXWD5eR196tO68woTUnWI
LRkII++bvrx5/deXcFzeR4ZtvJr119cUzyq6p+XdjSKVyIvlfW6XNxu7U3hrL2+7tbz35XICYLcz
L/FyKoQa54PkoKiXEwNuGs7g5RSxapZqMFTaTfT1kBmW80Zw8ATLCVQsZxFeEnbUy/nEhJGjKllO
rWA5v5yqoQHJXdmG/BmKOj4YtmJpezdFNr0RcMbBiKTaq1brhofcdmXXSXKOhh4FJybrjnllhPli
4VpsVDO/MTAhkHEiiZxFKvyelf1T3aanUlVDD1byNutS4k1M89y4yrlFlAOoKfbMKrudouJQieaz
UNJTMiKuqkV+r8O99mFGfzGqGuK1fUX+Wt/hIbLTazORsfAxMekYaswomc94S4uVSsZhWuFY1I0h
2Kcy2vc5OFqINgWaL+H4+Rx+macRgyOJZYBrSAMvl0pqugWNXmN+AdDfLGU8BXjatZ4eTX6vdWRe
M9qYusnDNGl6TJETcFQYSrCFXWEsB4SsmuUOoxoxQZgZp5j/EsfOKtJc35YVrE4Vt3RmQhZ0ZmOA
cBMPnjqpV7Y5slRtIFDLCn2QqnZHi/CQNfNh4cdZq6zUXDxbkwatTpZ3YJvilSsxQgdFa9MBovyL
F2uWarir1rbf8yB8y0ouqrxd6y6RCDOU5Lo3mfrLQfgacmAwnTL3S61JUJCP7sbh0Vc1A2KL2nQ4
3cyOC4tCYzmyAbbL9FC0XXn/b5v3tc1bsi3+un7cldysX/5YP5aP+r1+LN7Mv9yUmVQBfBesxLBl
/NDlOUwZqS2uYWsGM+rlE36vH85vIBmwYTD0Zp6Jb/Of1A/DWfaw/3VJM8vkUbJxiDog63QUJr8o
P9ICNksKCfoidLOJ4IXPzNNQSXxpEg5MA72nmgfpTglImE809zHo8FwFDc4FPNyvXZ7d2fnoYmYW
Xt91aHaq+LVX1H071KdUScJ1Q9ol060BzR8QrlTXnnnqOaFgzxzzut5jDiPNPb7onbLPI/fcoiTV
mtZlb5XU60Eiz0aHuyvixJ9HTF6ksHajVa5LZb5O0WmuQbvdCr377DJEWbMQu4FOoK1KxApKFDcg
09mnYw/ZhIF1BBSXxfJ5DBeijpnctg0rngY4mZabx1wlHyJBeC8hLp/VymDdRsw8L9NxNiuGlP3R
aYO3ykXpI6xnEkXSG8hm8MmK4DxCOKL9Uz4zWvFbR2gvjC4X94bj0Yg9Qvx8C21EFGOl1wSEZA+T
rbwRYcQ3gq9gWe7ILCSVi+8hUNMz4U8vbVK2myGgtxglFORI1Oa2oNEKSO6iI8wfZBVc2n58BhmD
gNXGRujU285AOebmOaYRR9s4FIM6wHkrON4WuWk/aupazi4tlLvpRxO2TLRVO4fG0UluCgjp66EA
Vt3OpxEPh09H9SmOTEjeok4wekAKavEgpmn3yZzHI06aZkWI+UfpNGf2tOEpSpmWkhrhFR3J6y1H
vNaJXRtw7W/r8F5kDe1PFK/B8buH0eLuK6zorQjtuzCQW9SuEx6y/MAOT1v1uvI+4R+b8ZFZ+Mn4
/3bFYjAzBsdhCYvpLEq6a4jO2NDwo1knwlbgs9m5Z/E+eaTYRp6Ngy3X6l2Co80a6oi0B0xu/Idn
ra/9qgRjoS5GuAFHHCTWbYJDzpDaFsI1/iDHPH7NV+jK0qBHzW/6xWBHIdwYi+UOQrQvIyYQDFGc
dYovD3waqtTFqifw7Am8eymtUeYucRN4E4x0PCSLzS9q5FWD70/F/9cx1l/BcbPlFzLymifyE3Qv
Cl00OTTK9q1Y0mrRdja5cqNWbn1Lsmeebel9N52uwigBJ9CL4CMNp/fAJJAw4l5VqLV9sIvpEXL7
a5ci46tKyB6hu1Wi9EZj9O7QDq+xqdC42Mxo7AEVn0oYn9ldaUie+eYqBrGMJvUp2ZXdZPhMYEa8
FDYjHWL41sh/vK6cNrolXyjIXg3BzgkcX3XlA79otJ8JcMdYORV1tI1SZc8kASU5K8Yk81wl2KHS
Q8VLWO/kQEI3ZqJZuietbmhnJXtqwI8DUkLQMsnJjtngdikq58nejq61yqucX8hjB61ATj33ypHl
c7+PFSL6UnTIEt1wFLuf2OKnbAOi01ARnzjXsbuZcovtcVrs3Fq90jv3SzvCPSEDT04A8lMDTHwl
zziJ9mOz6G/IzkFZNfK7XVI3+l3fNl/6Zrgwy/baxLhX4xBim2ygzNoYRM3CN1LeQtWhT5w0d4O9
5M7sg/eascXKHfJ954bOurWHnRba01qpzZ1Bpxyo83CMEDUmMWsZB0FYZPTn0S6O3J7hMJIQb4TO
54zVdwcVlkUB+xF169r9dWwNT6qo9oExbYAF2j6SSs6/qVBWlVXe6r3breO5uRgqWvEw2RHKvFz1
rwJrhpq13NC6JRLnANiTW6i5YA2lN89iY1mNryvanpjpAVpwMXMK68Dau6NazEuoIABBhsd1pb5m
QStWneif9Zgby4jlgdFCeE2g16oKwxttdk6uIwl9nJV4YyEAVtEzY+riOlWFiU+kgIuI2oSDEU3X
eqZs0kxeC9f5IPZ3U+To9K3Ob3F2bxBaIo0FHSO76rqznYcp7sk+NE3CG3MT5mAisk8pueleWA0f
CeqBaFIfs77Yk21zilxidUEV3vaz8ETcfJih9PtFiIAyGQzn/JBqYmnY00dOYL8lgadRgpK4JtQM
VvM01dNxXGQObZ/bbAgcxlLRUaCEiCbzEqKMwKHMMY5WIqjZDKy0oJbGzmrb9JHM45ElglLQx8+I
KxxUFpkK7MbExwA6ZPYmVBjGVznGUE5ey8jJneeLtkg2uC6EXoiKY1rkHIFef9jdkK5Zlp9xgnFc
ygnxRxk/lahBEKPcGos8ZCiN1YRexHQEK0L3QMtyaa1pPy/CksbWmO+hNZnQnBC3cJ/F4EvHRY2S
xWxE5HgZFqGKMTt38yJdyRYRS7PIWcxF2GJ8lbh8VbvkX5UvP9yn/mRH/8f2Fg4MUiHURMy2cbP/
sh9ta2RDkhTXi3aXrz7RI17Xa5qctftyfwsh6hD75brbxSdzO3rRDnEzvv0dXc03rcC/W3bjb/cY
37bsq5fm9aX5s3vuz8sMfj24tQzuk7D4uEf+PidRf2O7rrJ/504LZp4r6Pc5ifkb+EHGJ2znnf8Y
wL7fcyGcWVhLHCA+xje+/D+Yk/ysRmSX4TLDYV/CWgSRs6X/csvVI00ZO5kbV1H+PLdX0/T5759T
4+s25L/36OUr2AIbG8o1qPdcfZd79g8Czz5ojS4wp/6qn01fiOpDVsZVFuBpbboPlptY8ZvYyw2M
srz9e4FSuKkTv7eJkbAUq9yWo74t7GantOp90kcbo63eFExcuDhOvYmfssU4v5qj7KIN5Mie9KGr
ocfmbTmuJsJlQn6ITFJxEG/0Us5sClRzz3sffIwmGz+EcBbtbmx7hhFnbxikgIhgPPWNFrRZo4bK
pyQDVuymxpc+wjfTcXavjTSqj4BKOPw052JXtuJnTvPJbULdR/zHAtUwRla6I/tpUXYbDWr0SjYF
2cjxcyrECVU349P8/7N3Hst1I8G2/ZUXd44O2AIwuBMAxxtS9OQEQUoUvPf4+regbnVLlERFx532
WEEdV6jKytx77ek40ILepnmxzfN29mq/uvGNdEPhjyYZzAQkuSdJHgwHzuLnLJEu2pFSoclmGka6
xTbeXpsx+RVyudPI2sUivc3Lbt9CY4YTM30YE6woM6CMYK49GO176pZnX2FW0rJLoff3uiR6bhs/
416tc0RbW+hnF9LMn+dsHcxImySgEWxus8o46nllIMToTyktF8HWW5fAaiam/YVO6RzN7Rag/GXt
o+BqZmIDI1KEOEOhXMZ7XdJvMEgljjoDzNBm/TrS8sINmzFcdVa0m2DfOkYM6NaPxQaWMeiEJfZY
BzQj1y6/BSbyvO3XITibkfuYrff3eqGRmmWcRQOqtp0vkoiJSubnNG+yjan3JxAOu2IadgF27pDQ
FTpBA5Pd4YiL7Voo5KK2cXqP5fVO8U0k9d26qMXemo21NNZPQm9LBx/tRtKax4IPr07ZuJGm+VPC
pG5ioFP7iEqS8VjiX2EGg3OJSTr/qcWhr5vMeoT5xFOwjqP4MfCXNg2ix7XUdSyb6vNUxFtrSRTU
yqeulh8lSb5uTFpeiR97KDBd2Uhf5sT/kGRIO5DgHZO4TgidI/JEl8ybcLbdiugpN4iCmCtp9mIr
dGckMgRWFvhocBTgtqNIMPwumX4b4jq29YeubDCiqLRuuOXy9MTDtazEB6kj5Eet0MobFUZGSTGu
RouBYTdBru2JB6e9pDUrO0WHqILS4h4jzkGrCsQV4k4GcAWk27deahujfcgBVjh9KTBnZHWPdDKb
JB/TY9RH57GOxLFC606523UAqUtuxFKSoCMpQk8PUYykXJdX7YwPPm994qPpFxCG0smHUhiLeYqa
qqoPbTtelHrZ7PIOEjk2SEYvatVs0TbFqyDqjkIJyMJJSkxCs7Hxx9lezeNyh9LTclWgO6AjGqUX
ZiqnDE+khhEYn9j3y4/GPN3VvvZsJtWW/e0UhwoHrMJQaUqlo5+oMtoAxXASYYyMh4rsGl0q7BeF
xMP7Lsmvhp5GIa1rPEIMEFWqiliHFqR0QFTyg1mZbIik8Sjm8CHvoI6X3JfYo/YBBOqU3I2Y/ls5
t0dUtJvQCE9yKt8nTGw1APeD7adIT5InPfYNp4lad7C4yCstlipfj8yXcpBUSspqiaBEvXqTKBmy
0kjbaNi96Swg9QmtOQE8H9Wn2UrOmlpuE7KmFapxN20ah5jx3JkHwAWKuVOZTq8CTdS7dOpvhVTe
AJ90uSN2KcUYBsgJqg3gcHKcB1kUT/nCGR8jCbsGkMepq1GY0hP06hLZX6Gh13CnhEK/j8N+k+vZ
tGHrRy9V8Qpql97kmRZ5WGfsfTfV8T6NA6AMhkAspFm7LsE3qxfmDZgdegd6vDR4VaDek+7DIUiq
G+FPN1ZuzEu2NTGEHR0Dg7m5Yw7jup1gT5UyEUZ4aQtm6wDx697oHuootdajNUVEwEVDyKkUtlu9
z/mJB5AbDCO5PBWPoi93OSPW0aQ8booLeTL3STXdyiA5ejIx6LGEt12q3lhdZWNDHftdIcW1V/jp
5JZdPDilLD9yvyQWcdSrh06QEFoWdMKTkIVuRh2CYl97UEe7vfZVY1xbHUPpmEyU1fvH81Il/nM4
fzEjgDqm1EDQZ2PBQGnx7eGsZpnQrCDOz+0yuhixfIjhw1A3v7EULljDn7wOsnhjcXr8WAS05pwl
QZifM5yQjVBv2ZUukd0+sV3WzjDZ/ABTuu3HEglusm3UkLBIlQl8fmCnOho+nQNm7KHfXYlKXmkh
Qgkb2FDgvyIZp+/PI0AlfhZyQLn2d+PyJ4X2T985NEb6jajvxVulqpF1RdTaSX4esHkH040c03Aq
/tSq/tKCY//ggllajZq9MGj4jljo3/8OTZcQoZAAaCrRGOMz03dawcYg+0DJ474n4kbqHwAqFR9y
rKuTLe8Ga9CdYirZqDRop3EGpXruPgBCs69zTqWuIAFLJs1BL3CFGTAOHaMIzhFAsdGnUTSoPDci
Q/c9LfI+ACPPCdmUShpEmxmQBO5SDOeIt7FCaR+lWl3jbCedV6sE/QhbcYtK28QhZBWOIkqbUOBY
VV+Brj2P5oKBREM+mulpQmbnmOYkbWVliE9yWEJ2GoG+BApKu9COTU+Jgju/U7KbajA4P5TgaGSl
sca73G6Fgier4IhTaNNNsZmsSlm9wKSJCXgeA/b79OjLz52+7gieYV98tCRQLuagbKdYpyNQh6u8
zDE0itrRyPWZdUqPkcfMI8Kg8EYp29YtzshMGfcoF56TSA0/TnCpkIxlnpmGJ7WYkSk21RrHJS5O
dbzKhEgxnCsOTsnxAOPtT57jL5eD8tP1sMhrWQ6wAREufb8efE0qMEjTboKg86zZTebNZZ+eBZJ0
h/30KWiMZJHUuYogzjNKibLV0hPfCjL0EEsxYp5Ti9xwmNWTUVgPmp6H6yYzqnWHgX6XGRglA/If
aIX2dKUKPduqHOoegbWVZ9US9QgbkZwVuRsZ1TXzntFVwgbRzdA1TlsuwWoks2bzx7oQzzbyXrdX
CtOtM/VWqBO1M10qjWQSUTQVnW4JHMIgHmJL7AZf/STMcQlzYBuARCfy8ca36WMBvqsK7VrgcJwZ
uHaTem30/SmJw+sqQm9kwjSa2gdMCTrh0uA1RdVRCzK1pNeLWNNAt6hhcJd9MkcVIT1LrAm3tLVH
RZMelLCvvKqdtVVoyut+RjkjjQWRFvVGluOdTYAhOn2M3b2nJ9j4LGs4mLghBqVvOOYXqk97ow3l
2bbGXVNMz9oA2Uyrn3NTrIyJ94kxPemTi4JQFzMX64G+aGhGsRuBWlLt6ENSSslusuZV0Uwrkfpe
VlLQIHPmXsLD2Ev2B7zrn+nW+6hzFs5TvG5bUhbANnsqiaGKIo6igQah4dax4PquGEm6NNiJNejC
o6SQxKwMsCGA0EjRpRHqxCBjHkikQ8YpjjVlaykpVGIEGkRCo+kiYFjh1Ez9Yd1yvOc1zaROqmIv
TaRNTADFTIvQtIkwGZRgcBuZTXemzxIriMIG65I0w22Q47cfqmNuGVS9bSpdpOWA0SE193owHHBK
VMyRCWHWSrRLg0wwSTmcpIZbQgoOUWNG15m56w+XwliZQB0G60x/U8AS1Le+2d+XsoR7Xz4JA+/4
6OtHzPfYAX3fP3Rqb7oNum7CxnCBD/3sldQN22JiqDkJc4tVhHkuLVpm7bDi/Vr5zdH2s537mydV
eyMzUEN7iu0y6c6Cc79vToTkuiNiZH+4SOqTwo3l/fOIAdf3Jyknxbev9+Y6rYZhzu2CnaEoXhXz
Uz9eEeeWBw+Qpd5/oYUW88MroZvQcWUCH9ON5WT85uI+NG1fxXKPtk+ZghUpNM2SZ3pjNEGxCwuJ
NTf2h7KMZId0EOVkLehMERPoNi9xiQP/L5I76TMAtQ+YuCx8S92dFBUXhWxep5Rv3HoI7FGXRMWR
mUiwztroKSfOQQrT8iroyIg0whAZkdEdDKZRFBarSZGR3vn+hjmAeW+r9nU5px6dlH2ntbtIUw9z
MO2M0r4YkuBQc2ybUnJI1JyHScLJChiwVO6zsmbm7O+GEpBDSlgR7qvnWZ4MNx2Cx2q063s1WOYU
jRb85lv9vt/yxTmB++6fL/WNtwYpNCgO3xrP1vgUzi+TtX//V/vd///m4JCllBoZa/c5sq7L2HYq
7fb9F/ihHmL9ffMBxJv1l4kskRM1mM6Gegn0CzfdSg4n9/0X+V678/VbwntCSaoY0LC/X3qj2Qxk
cvMpbNVV24/tkFGT3Eaj+ZtfQ/1+jX9pfwExIl1wcfgT+/PmhaY4QkQ+l+qZMuYjh5p3k659T1r1
TuTeO7lzvxNuf3y5itzwblw9p6vphSe62Wq79z/wl2nyd4X494/1lzf6zcNmw+Iv7YBtpF0jmHDl
1XjdbWBVru0VqXj1WtnwPa8Vt3ZkJ1wxmOpX+jn/+P67MJZu39t38c2P+xa5xJwitXDUTOeHcaeu
8B6s7UvTuWh0J/Q294Z7FF62sc/hetzCJdjekIW9Gbfse868ASoKZNDBLeJJx26bb5qLEKKJE3h3
hdOdma1ujJ29Kw7kHdxm6+v33/oSuPnuW39TQUtqE6VQVViXDoKXdfNarssbxYOn7/kexNwVoJ19
sbn8eFx1O2RYoxvv4RLu4zMMWNdfAWz65Lt377+rH0EOb56WN6cDgT59bQreVbizndCdt8CfbnKE
vaitHOHg3XAnJ91Y52qrPtFIW73/+j9/WP95jt7sNmw10tSU03iW52JlDsNhlhKi5Alqe/91ll3l
x3Xzz+u82XWsyNL6fk6nMzU1GvGP8rgd4DJqACIY35br91/t5z/136/2tqMsZWz+RhV359BEfedf
lcGH/9sLoHr89uTTRisVgrjec2Ic1Jg+oG1677/Cb34Yc3kQv3ncpay0chMf2bkgsgv9e6k+zJ31
m1/ld9/Tm82tUZC292bcEsrJr8JMyx5j9//2Od4ssK6Ymy5vsuk89CMwlHOWAFPMLt9/kd+sLnMp
ib75soQfSBPNOU4DeP66jaEobS80rXORsIPTVvGv/ZWJ/Msb2E9/H4MAGWUJrWR8+P1LWkjz0eu0
3VknyT5GnBPS5PtzdPbL1/jpz/PNa7x5aMB6N1IV6uPZiHX69x+y7Dddhd+9wJstcU6ykbDBqj/L
bNo0oxOIFu//Ml/Ox/ce/DfrOIwY+vgp65i7gVO5wb7fMnJ1Zndfu+EquOh+i+h4w8z/sTZYPvU3
q0Gh/4duJuSMeqAxnLOrEv/iVM7wrBznXe9czuCeObqNVeYyp/0gOVftajnVLx+rS23PrT104hWC
wW3uhpvfEUR+epALUEFfS5e3KyeqB1nxeeiUi+Ugl5xmk+q7XHGdZKN797mzl53p8Fl+4XJW304H
vO2/2b0WUfa7u/Gb3x25jggre6KW8HoPYezsqMKxD6l3ZZ/FEaKs96iufSenY7uuNwQ3u9Jvdujf
vQXzzbkHMlDS86Fsz9KhcEbAQk78CV63Zx6613FbrrKjuQH//zl41Nxxk1wEXvz6/tL8cvF6Z2ma
b9ZJAiZBb3KWJlDTNQlITrRUdbvEvel3aLwx+zrzmeT3ezBkXrYuN+Zl59Retwp3gxM+/Y6yoy2F
8Q/v55/H/a0e3ZJsZkM5W0q10jdiIwAgr+f1fIwOivMR6+0ayeyu3NLUO46uebuyqA7yVbtJ1teR
txQJfxUH/43ul2fy7xav94wd/s9I4/Nz9vq//3MCZ/bxR2nq8kdfpan4D0kRRkBDLUz3bSmT/x7Z
k2UMC1xbZtp/hfT8NbIn5RhbPDP+P53xiyDjr4k9/4JGA0wbJwm0cJml8W8m9t8vJO4sSAUs4pcV
Mv1k4rXeVCdVUemtFcbhZQXQmXTeZMBTbZgXihqFzPMCyZdm1OHFQMeTfEjZBuNp6j4z7rFFwyZn
Sns9MBSzPw9Ws62lXPOfARfG3NnJ3ZIORNqT3qOE8aSsArBQwSVqmQh+d6WHeKIVOqAQmmZjTpmr
NLYPydDMTaZX/YSR1kVxj5iJdn6HOZ3RfhVuTZqG+OpjYxHMAQTdVkFtx6SDNPgTqiGtLwJ9Sano
tGkwV4ElF8JJLOHJc9tJrwbQiz+P3v+Wvk4R8eulf90+51FDGkrz4/pf/vLr+l8yquA+sPpJthNA
ub5f//wTEmx8PwoBVv9IVhb9NbMLG8IgI80v//RVsoIBl/UPUVAjkO9fG3C15QD7ZyvlCbBkS+Yt
wOODmEQD6fsSQCIVNalx4Vx0KI3nU6yWUIIVXY4J8kV4fYkism/dLDWwB1aX3WKtWDwWNWaLXoGh
ninZsVLrRxyJ+7TJryLsGe3i09Bi/2Rh3EDvlbg5Vo5A6wOvxtwRysP9TMywHcFELAhTHtxEFB8M
LCFKBpE9ZEbQ0Xr3cGMC3WnjE0uXYbnFwFPrc+VFxao2QkVN1wg+LCyFplZHe/J1W2JgFIn5pQzL
Hu5OqcVcDPFdIn9hzmhGZrapTHsvUqanNxp52rg6siHukI8EoX6s46h5jAc/9zqOPBWzEG4epLzx
wYRDDBPZNpphxVMHqb2xahAHudnPq6oO5GqVEU8UgN8bXzrBEz6QRG2WiAWh+2+s3qY6iMRz6Re+
Zw7V+CG20mEN0PwU+XLlqk1LKHIYraoZnmdoa6vC729V2b+T6nnXmtJVT2pv3g87BBFeL7XHcTAu
7F4AzS+FW6fq1dREz6VUQL9ETFu03YlOMEEoUgn9l1l4bStXfSfthKKucr86W0H5WdVwBEvDVola
VNLZNvCrY2AzWVTHc1fUL/LUXJFotlVjcZvYPYJZc+srwYUI6eNXaXmdljMbFn5IQj8Go7mqW4sx
7LCLhX6fmcKRbevZthomzkPnWpmmrmL7c64UKz0VZ23oVkNhbQgEJxCnOflRc4lx9bFuZvTUFjkg
yorx23kusguLdABma+e8gfo/qvczJPye0CE9y8/8lm4ZD2s7DM+xX5wbzT7MmgH6p92jv98gjHiC
kbi2ovZUau1LUKBmWH76wCRZuFaID1c2lhiPTCdap7Plc6eG3lTF51qoHyoADe0s3Rqhtkvj5Rdm
1MUev2vo23NbJ8GweoVdgaI9vUd8f1vI4VUbSmu/NI6abkFRys5y3KfYx5TjoI8vPW/CtXMM37ly
9HuygUyaUWF7DEwEmxG6zzHcFQ34FGuqX2tTpS09XtUT3FM/6I0PplFvIjGEZ+Hrp8lQs4s6ZeqC
crdC06MWGtHMPd+XMVYXsjCOg8KS6mx9l4LNcCsxlF7Z2J+mgF7GSGx5pqF7Dj6MVSu8EXNrn6am
x1jkCS8Qy08TkGb9DR6ECSOw/zTX6Wmwx3BtZd1NMvgodzW0+nrbMPSZI2zyhDVRMJquFKIoK3sp
X6mhcvJ1/UqvMUtIoCVAKvOLE4V0GZfSptEzunBxsS3Rb7tSg3McSfOpjbtNgiXaQKUlo/JfsTr4
tVQmPXbXXJJINLm5DiJbQ78UTs1hseozbDtq1RK7s9gSq3OpwlAdquxjqWf8GLPkLYHEXuyTJBW1
4oORWruijTWvLnDZ54sjz5/HlvDpzi1kaCRqiAM5jsojypYOtLjkZmrx0Jo6Q1Q1610pm8+dop3G
JPokNPwLkqVu/RKhw7jEdeRxfyVy9a61xV5CN2pJXbpOp7wEeTOcKHInp9fZATKJuZhdkvmlVn7n
DLjc13E3HQsgNo7Qogvgs7e96IjrDcebQBisd4R7uQRe2UpAhvHVIMxDCwbCFvl37pIWYiNCk4bj
zETzEBooob8cef+d/cuN49dn/1XUv9ZN9Ilr1J/V8O7T//7Pn17g5Q+/Hv1L6C5gCw7Xr86rr5Xv
EkmAoRalqI0DDH/VPye/zslvI7sRCEh0uBic119PfsSq0DQJm6SPT+H474Jw7O/bMkz1tUX6ClrR
FgKQnaAw//buH6p5b/Sdpp7qoqpK8ygRXkHCl00oboaQTI+TC7tTtcQLhY98Oxo6judpUkzgxVhM
LbpIF10BEmfIRmlnGLl26hKJVEm1yQ+Zb2fXk5YPFwjJymMetcXHNmiHvZoNybWuDFAGitjO3XY0
Xxkx69tCt/w15OmFVlu1xVMoy7IN6MhOPAA2EA3STaIqgzenufECV4FUNi2ar9RGRJ1r42518gmF
hmzZGGpFRcBLrDrGojCJaG1eZlnn36ixHV51xEuF1zIGnIB2gqlU824uQ5L8AGFZ2ugpZh6ovCAC
ho7cLpTGMNynwWJKjYa8/1DXijUwp6tVHSgONoizECXGAiOq4lspnhncVn1imu6oLrYlvB1Thsx/
qp6SrtN2ek+wN8wkwNwzyIhy2ltIADwlN0KPyCzbOHA81M8A0kExZeFUcobKDQD4irPenaJc0zaT
AhQblYhpe6B8rmal6ZEp9ACjCzP+iAIz3JfgjOeTEVftjmFi1F9B3VXWU23ks4ZUTTeHU2azC0n/
3Qb+MvnTfPr1jnB+7Z8/Pf+4Haj81dftYDH5c19VZZg6PG6LDuXrfqBi8icGROC3BL1tAtX5W7xO
gCaQHe6oXFARvCtcEr7uBzb/H44FPPlkdyvoxP7FTRjB+9uLAHNp4kcYiAsgGLyL7/cDqN+lZvjR
dBHll9pktq7qT4i+W/t2nEEWy5NaObaaH605vSJV52UqU8k1pVkBKJlyFEYNOA7cdk1iXxCzUeAm
Fi92mJzSzr5DOnmrDfnnrgvWlSRK4IvmY1pmpWOhYHOVYd7IanZEno6/yu9tVOPaeZDx0ZGkpzuV
SO4ExnvEHQIWtE+9TKvUKVTjAeXwXTDNL5JPcImf2Nuh6m6TqL2sbZ3Bra8ApLGu6aUTfDEGZ79v
9yQ84QOTmoNiccaPkDOzseAzz14MNYx07V1nMSwUto99M1/noXTflREOGJIIVfucgp2fdeItYMn4
KzzVCm6lzoujal1ZZPppCCTYNQDBRxdNogjEQdV0PSN7j3ofzmbZuHM1AoaJtchFnkabIUckZEvG
YzaTESAI5cYNLqd7tKWkMQ1K40kjBZhZxJ419F4KLMKzJ92xBnsmn7C7FlNZrObauKurHgNbENX6
NYathVrWGQXQ0BFf0HyrDMMM+s4yKjIgqlYOV2kM4+U8YtaiwREGKVtaMS8bWHS0BImGzbSR03E7
D71AnQkMnLjGzSjjx/oSfuobyq1u0sjITP21JBI1lZF19e38NCPqdwT+Wwed4W2b509R+oq6e1/p
XBoNvdlNXUcyjBmTHJVvQd1KqzApF71vf7LlInOTSTvAO7ifdLHPSrh1mTE9V4pR3epZcxVk+pUC
IGcohx1NlM0Yx/42MnzNkSJ/i5qLMIlKO0xdoji2VJq7SSL9bM6sO6mvMTxW0nqw1Y0c9RZ6X9ix
/rCbbYRgclFirgtyAExLZVWVm4gDxCF1nvxBnwsbYjopUp267u7mNL1PDfVzofGdYSR+INWcyJTk
Fin7Y5DVl2OYRIQuW9wT54emRskuF+GW2HrTTfVslY/tPutIjEFR+NC3E1zf6rmdohWtgYMdI7yK
ykcRDa3na6DKEzmn81OnN51e3wIu7CHLIeiWTVQZY7sqZ+r+1nyswDgQMCJORLVezSGeQ82/VyZp
3MjT5GZd92RYwRUg4bWp5BeablyMJUdtJWb1GFuQGiqR4zEEOqcF6yT/lCBt63pk9c3gb4qIs89O
dY4aY8IQaEAx4HZhDwCOWrNh8taMLkCM58z3c9eQk9aVGx0mfsBZ2k83YsZFPBYpAWO1eQPh62BV
8uNshafUHj9oKnW7nOSEzNif/EzeZjbuRmFWkPkzFqB/k+K/WPmxSszuEhzXKzcs4wdAgyHbQnFu
I/GhsbVPNsTGVSwNl4UPkiJrlAV4pxIb41OWp4K62MIuA4FyTC+5V10lCfsKhy3xEj3EeuJQYW0J
+2X022euVZe+gl7TNw3fawbZR3tf2as6Ng6l1eiXs2ZhYihCEBmofK7LXPnoT5rqBMl8OxfFUZuD
FyVX9l3aTVsqI2mFw/QcAiCBvB826ykFF8TV5rUozRmzDp0PQrfhGrWV7ZStzTdgm9yYjBSjuY7/
UzEPrarso07ZIeq5qgOMxfKg7cSsn5kWHIqMTxnBkSzbUHaMWdKJO2EsEGZcwk3d++8S8IXLoDLm
+PWRf4LL8JMDn7/5euBT5VuaCogGRxr5uovM4uuBT1ccsyEJlKSHCZne3z8HPkmYgObp+xFM9sat
Zi5uNSIy6CSC/PmXWFiyud+e+Bb0PUHlQMVh4qt7cwNoZgDTndFhOtHy+VhRFzDsK6yw0jlvgh6A
9uwjCnQkvPOpZ7W+WZwmOeMe3kUxyRmtIacnq4tkrvOwVgRWrgbStY7AuoPrsgpIdsqxJg0G6Y0D
l/ngfugyqfRmOdClDJiAZJe7hg5MiV/ZECO2d1OF6SUVwZomhwQ+Nb8HsY3DQte27ULPa5q+5XiS
e4dOAvtSIDVrv8PMlnORyQWJXhkilUm+AgRdO4oyMgPyywOGgENe+UdlGO9QcSxyashxZZltunIH
bc3HrwzSJBJx5CZmS5NnNEGZWBydnT8jyhln+ln2pcKlwEmxkkldg+p2pNNBegBa38zak6P5SV14
L1HXP7SjAVY7SA9ZJBse5PdLbM3TehA9aTEdgY5sFa2rmfPoJS3zK8JJ5tVk1JhxZHVFXNTkEXpU
od/sP0n6eEilCOdQ7YPx9JVPI0mF0ETRs8sVp16VupmSsnmrpUuc8x2ZahlpjcMRLXzn9hEQFzoA
1xKkucrsmFcmbGFSxplV++VOB6bgjHpxjtXiqqoG9rnygMcJozG24h4OnGJWK0xLL/pUggVE1AsP
wOnTxEsBfbp9Gex1P1vVpSUcAsMIVm7HGHxgkaytyZRoGrWnjEIRq3VNlBHRXkoQ3HewDF3SG6ON
NuFOkURwyTwDfw0mcqVq90vv1ank+j7AaIiP3jhw+bxug3ElRiBQ8ahwqsZXQd4fI0PzEpwejhBz
tPKNKcUyiPG/TvzQlUf7EtCOubIq7bVIlWarQNXEkFecDSVvN6EGOU9Lbk1MV1lc4TepLqSwLAms
hAOgpwxXrDRex2l2N5gWbiXinWXtUS5pA5qQmPohvR4TY5cH1eQIP+QcsUhCmtCLsNDVEFknxkzN
nuVtOAz3OQMxL1bb+9Ef7hS9udEbztegnjd5aF+QIErjyaJr076MwFWJvxsGtzOT0qsSzlxLyagv
u2s/BhlcxEpHgl2wCxo92FZtddWJ+TGxgqfKAN04RuTXU0Us1iddcXW5u+0jWdCfI3uuEOFekoo9
zYjnHOCkIwcV+sBCuUbzuKZ+vCkbGZ8eIFnaVHSytGtuD5ZnhSChtVE60y4/RWYpuVqCeSdK73Er
5Bty1p+zYB63yRRsu75GjBFatptLwPAAYRVosPPHOAdnQrea7Klxtg62PFk4FeRNIM/1MRLJOhtM
FqkKUX5h0+BcHdZpM10oiv5ap8TOFzVtPdO8LegA7vGspyuhjK9JZF/FmLVolpHRqaTjhGty+jz0
0CD7nrQvKgDdBboNALNZ4sxMzBx+SvXsw8kU8tLEVKSCBRBNbjUVhqtTrEG7eBZhy/RY5PlqFDaI
v+rEkOEVBjUhC2OK9iBBPGO05nqW5M/1oB+gNW9hyjzmZkA9H1Y7U0OLXY7KQaZCX1uj1HtqJ670
UdV3QYsbhnnIkmgQnxRiz6Y53EwtQwcb2mDtH7I03oVtde2H1Wcsq42XD/VxKvyLxTlWMr90tAmX
oxwG4mCzL7I3Aq/qU21lFt2wiZPiPi8AT5gD3ZQUXr7hE8U9BEwYo364s5sWPFch8UznJf95lDyO
WqvxOI5rehYyQVtc5+xRJQxvCu/V4XWo6WmYBv78fNIPocgex4lvVLG763RoVcLoirsvqeBaQ1qE
bryGRPY6WNRkh8b8Tm6Kj7aq00mWP/cKiwHi401Z84ORn6N5Rto2bBE596nMvOxjKP2ar4CXGiRy
IfszDogrPioZeOHFnOn62tCXKKFeUp05NY8mh7sXWvKuK6i+wY6NO30wrtXSfwhN8sfqNHrNaAHj
7Bu4qQ1zvm2S/hYXxOxipsDoMdaQlJ3/qqQvVZJGY/HXVRLm/v/nRa/BT0ql5Q//LpXEH7KFPmyB
IMKIWrocf5dK5h80JZZMMgMRwZe2yVdjv/YH80sKF+K8yWFZKId/90bUPwxqAo0BKsT7Zbj6b5oj
DFjflEo0SzVM/XRNIA8oQPm/b45EcRw2YdpqJ0LUyK3HFEk30+2EkeyzKBtKWhj9bNaQZOVSHT18
BfN1x6QPm15w1ChrnpOQRI8WWZdcPcVmqiiX3OtLLtQ9tw6n6XP7IivaeR9oXRrtqnZSb6gtJWOn
NHItObYNiCTzNX+fTEJGTg8fUbmOTK5iyPTntPlo54EYTpBkCCkq4fb0YIBfqTLY6/OoS10c7h10
3qUNaH/pCLbV1O50DJu4DOYwmVe+PHVc3E2ucmYVyge1s/1DXVUxG3g+hKtwtPEfVXW7wjwZHYx2
gsnrzyWUK9u3mZRzgmGP9WnmmDr1Q5KH3WWoGs+k4jyZSfCRqWC2QvYB00cYr2WbvQoSQ0kZzyr9
E/l+LrG0rloFwy6fZWPdJlL3NND3cXpVJnp9SIgRtGzi4tqote4ViaBlmwHUxxEwzbbRcnUXSj7e
nUTNtolSm2ez6kCQlGW10RcIVk2QM4AbXCWGVRI1RvADhaePF7kpPdECyxkan0I3O1idjdHPr8HP
G8a8S3ROfVJqcQACU2Iknjl1AMJEm6zYLZBtMgRNvNKyXyEXS0x7522q0AajibuZ/AHdLsJUJ/A5
Dxt9fNBDJCTJMGPmIzy2UOzR6Vpcz2E9nBON2RM5bqNrpwtG2DANLrKleiEHSXItDYZ2lQuRv8ay
Xu+zKsrvOd1rF1jNpxxO/58hXv8NeBYGzK93rfNz+bNmLn/zdcMim4oxDOYT01QBmC+iva8bFv8k
uKcR0qfIJkhzJjhfNyyIe0JnHzGZ+SyJMN80c60/FENf+CTaX3vgv9mwtGWC9L2sg01RU/8/e2ey
3EaSdtlX+a33kRaDx2TW3QvMA0EQnKlNmChRMUd4zMPT93FlqpKSslSdbf+iF7krVZIESADu33Dv
uUKBYWkXf4r8gDaX85Y357OUDRNTE3VB7TOSk/b0YCTVNlBCjsGoVoHsXvUugCCNA1QfxbGxg4xi
U2OHWK10ezrZM8eU3eYbRq7kuYfx2YmzzRR4N3oWso5FxLSuBn2bjv5psOyrMi+3XujvusQ8Jzr4
KM+Z02UdAhMAe3nn2GUHUMx405zi6Bm+JDhChCfXIfNPk2mw8CoyGUzqBYDZWwxoe90esB6a3qMr
rZvGzM6235J8URe4taw+e0ydCRRBygza9i942+/CAcWJTbU62cDfw6zEM9+Kt6EMk9M8d5LYFx5n
svvtrNWAAbuQOayxy7VU34SjUa+CjOOu9WOdKXgo8bKSO2LKAQ4GduMVuJJlnLF/rbLXEB5DO/HU
Zd9su6qOcSMQfToSS7FxddKPB7IfVOHILHaJ23RVi8zYm1N5tPQsPhiafQjIy1h6tY79OHWvhpQc
XH9w7iojdkgwqtlEFxDaQ78WLN0czPJUZOUMm8xubPBqLkLU1CLjvmihtwQfmtC7TzTPhlFm7cQU
vCH6AeslRo5OJ181NpZ5s4T0rgm2bhFu8CrN9fvJo+RxR3ufF8W4EqFkvJrtRmYUy8hWMLUZ82kZ
N8HeGXpYDbpCSSX+Ji6YB8xRPK2rgFLYDtNPtVEUTE4NiKTabN76FUKJ2U5JdvLiLT7qaKW1BrbR
QfdTKN1mfkqdoNg74B52CNYwLWpeugeKtxpdgRSOpcnCMd1k25Z2Vu1qTHPBnTd42sEA6hdqpVwT
LuIfWONBNAf9V4MAbHQm2jpQQKFJ9EtgApuos9e9V6y8viiPBSjBRiEFR2JhBJBBfeyfpaIO0kM+
dopDGDNSYRshn3vFKHSBFXZAC3NFL6zBGM6KZ1iWIRG49okeio+E9tgq8qEAgYiQimcdirMLHLHj
0rVjummMWHAT02bLoOMqU0RFXKAfZhCLvZ4+IKqoCIIJ9qGiMPaKx5gYVcykEeJCHBUE0qanKNSW
o6I4UhOdCrCOrbraBkCPcRA/lNpEjaFhrEqAQVqxfOyBQ2oA44E5wovsAUdqhvbSK5Lk0HonS7El
iQRKL04qPrSyPzZYId25OU7gKGewlKHiUzYlY2JFrMTWus0Uw1K6ztEaIckouqVmRrcgTZBHAL40
3ftUW4vJO0qImL5CYwYKkllAy4x7l3DwNLvAIdToN+sXqbXEF4DYLGBtRnZA3gj0TWvA0guNU9Oc
3dyABiInrSKhDmQn3dYig+Hp+v7exSOMnJLihlddwT57hf1M8/mDr0CgbV4vYdhVNnTQTHFCsWFe
dcO8J2nn1bQlJFHDgIsPW1TGyV2b2a++oo52I/bnomKzpEEkNRSbtMaKvLCiFoIzZ+HCn7Nx2xQA
bK7/6RO+9gni130CUd7xVHY/T1TV9/3r1kUxLGBsgEnnHiV/8d2tazE3RRKMyE6pJpTV4ZuYmKua
vBJbd1A3IvUVSDT+WKEKHZ0xNzQMXKFT1xN6/Dd2qCDyf7x1BbRcELdq2OvwVLjf32sqoLowcaud
8masdXdT9HAshRSI48Wwi9wa59DEFqrTBx3Pja0fdQKhke3GbrrPUOo+x6QnnAgTI5zesqq7pHPE
DtxXcz2kgfwsW0VhytjNRZnLQRUSa4clXxuI5jK08aap8/YMblu8aDoJ9ga0Ew+khZGt5iIortNQ
+p89LbqdxgyCoGFoBxMp53ampXlovcl+Ib+vvhtMuzu1TeTuMeGX1cLtAHsb9lQ+QoRoCQ5szLfS
7rJnpr/FLrQbkill0HzsqXnWxGKwvar9YesmaDy6qJeXgdiirCMQEKqSXPWDIfpzpMF0/FQ2TJGO
BjPDCZBMmXZQhZRKWYS+yo39qmOugqaoz24kqbFDY4zuosTHwv5VBT231uwO155PvhmFiSCWa1Nm
g+eCze5B9qxsM8zio6MVANTpgabXBMBsvjYhWINWGl+cIbM+Tpprl/ALwL+GkWMfps6Z7tqhnD8C
TWYjWJixjimf4ikODX8byD585Z0UL2FTzh+DJprfwG8/14THF2F80FySsXLD6ZeDXcudJgdIOZ7R
TdsUVM4RVMd0lZYjEb2gUEgxy0uNcNwhjGFKtAhVq56tuEyrJ+HGBJf5xoOVovsmRJqRuworsakJ
dk7SOHceAJB9q7GilzpZi7Rn+gptmq8zgbXL+6DR87eGyPlXzR20A0pask/G/EwLqK3qth+3vUZK
GrEQFUD6MYjlF1cr2czKoLh1DK/Z2/rsfAjZN61m300exiAFLZGIBBJ7lbyA+OLimd3pqkkZds3d
qB1581JQuQh/krAOnr05Hx4K0r3XXTnGd4gb5U3Us8cqCAsnjkUIhKRNIwyw+T6HazPazSqska7D
O7YdRC3mGyc5Y1jr4I6DdSG7DlQronbjTZZy3lSx3ix82aiwEDzz/5zFX89ipT35993PGc5G+Pbz
Say+69tJzG6LUZzJT3M98fXg/Ff/Y9DKCBRq6FbQdwvFQfrW/1i/+YKWFr07cnPvB3EbmjcASQ4/
VqX9/i3i+F8NbICeE8urTn4BLpEz//1JXDmcjYOrB+QGGNHamrPUXxpqnqGNlX4s3KZP8Qky7xBJ
dIiD6cULDcxuyKcspaOizx5c8nmyvF9XFuJaXVYS4mtMDcE2rHwMayXH4kJCmlUolZb2VbA1KO2W
yIL4re30oN6YStZlNxRoBbG/BZv/TcTyrFq3WYO0NKtFv6nqBGkoixKfypCZddD56F9iiYs6gRPE
mKL+opGPzraaQbEdB/0iMlmPeyhHHbWO0Czq8KxHnQEphkOiDg9ZZ5zlXNLM6XQ8w8WwZiBQ/g4Y
zpUosz0sjf0YB/PSdmCJzbQhjDF6pKeNiK6kABgotZuEbfatDLxjKyNkGiECG3yWxlXRlPWSzMV0
PTkJix6pJSsmLeexbc5aCgJiCAXGPD7UbL+HdcRq0Gfp3pK0GltT/SW12jsY0Hc02KCh+6wtbrQK
74ElGP1XchNKJ3ouARO7jGQCaIqnXpA5ZJXRF4rpZGlKQiHNEkAgyYH+ZOV3mmMPG+mhe3ABJ61q
alR2DP5OZs6CTAYgbrPrrEyjiM59SOxWLInRstiftaNW3joQIX2CnVhewjXymeZIk7421k4G6YpI
DQla6KR4aCA7s5yPF+C1vA3NbwzwL1+O3VyjOXTlix10ipin0Thya4TNsoG2tn33Ubz53ZnxX0WX
35TQF5v/9T+oft419lg2+cBBK3Jo1pCSMWT4/o2d6NGgA5ZLrk3wTxsrG8yP0cTfaSBv6A8+yj/T
H8GZ9O/PvzuMAW/1z+ef+q5v5x+KPcEpR17B79YdXqZ/zX8wrxGBANlDweBQ5v15/pHFB7BUjbEJ
if26wP9WiVqs/akZEbU6rP+VK+jvVKKIB797mzAWR80H7xDlgYoVQtf3/dukNwuzrTR/OlMvNxtQ
JsW6QdmbYlz2guro6cnIgKW3NdIMgkKehqG703N7a3spgMd6RvAb6fbVWIzVok9Y43eoeKih9WU2
Wc3GNFrGDtDQdiMSqYspMMtB94SNNIWE0yTlsz8byVKz9U9FxWFgRPMlj+GYBkOZAc/EDWGF7pl0
vH5ZlMwTQummy7gcSPX0WK93hHTiaTMvqaVl+z5HX5cH9lqvI3unuSNnoRU0e4MKFf+FU9jLWKa3
WP3ehrS6K6mQZT4Qcqs72j4ZtfEQ+hkY/daXZ70jVMFUUwl+SgCfH/X2QFBXt2rGIlsFg39CtQHr
xcxIC+wvejo/5p188JPqGEfNB10D1SZznuw8mIR2J1fCVjU9M4BZep9nH/DlNKXV0jP74+QyzGGY
VC21jqYxcsaNbwafUopoyrhyE0D+drXqVJjyOYkxfLisLhEs52zn7Ol1js1rg4X+evDkbYw8b6kn
VuXdNJanTVutU8zziMcLKAuXVU3Cm1Gva1lCfxw3OkW4STRMp9Dw9fw2e5Tmttsfi9Guly6JRBRe
eCCKrpFLQQgSQw1QU36I2WIwxZPsshOBROGqEnLdj6a9aqa3AD4X3GElDg3VWP9L54aswVO7WLVi
JltYb5GEZOZNUE8O023ykmQiL1E9f/QqFo9GCw40ykocS6KxF4VT7nuzfUyS8tLpuc4CH4WBWrfP
1Yagc1wdFhGNhnMZh/CpLaS/aPPmGNZthgeKu9lzeLt6jCyRO4VE7kxs2d2sANidNyg/FHgorvxH
GSQ3XJ4VEzjnGAwe2L8KUFJrxx+RI6ixQPnRHS1C1UctXjVaMO+CFuQYeVBA8kKBlcxk6qYbs1yN
IgQF1oZ3buDyniI6dwf68dQG5bjsCuXRGWfCxSsF6RIC4cZwcYyIVbCFB3nMvbXdOFe5Y+7Q5iMw
DP3zWDTNKtMItHIjzGwhFS0QyxYoWMAYJxvPJQL7umzrxTSkn0CjPyW59SonmMiClHfYZW8cUte1
GbKWAPjVD7a+TjyW+vRO/RVZTTeWtD6zG4cmL6OdRSM0JP71aBZ3cZElKCvnlww96KLBoLLx7CTZ
yJButQ3AAJfVhTYxWxBw8JbM8JUnM9jOHRW6mWkOEy2VNhDGd2UUDnyo42zNFPepGMonhPNUKL34
WOvJB0ICmUO34NQkgpxFXGIXKL3HpNaOMGUPnp/rBD3bbMvlISjtBOgi0hVoZCyXtBd2VXSU5VVZ
59licFneUlU8tzNOoDS0/F0vmcs2OdGTA7MssH6+OJtp6Wmryp7jz/+0Bb+3Bb+8Fm+yj5/+6lpU
fKV/XYtK485C33Ec+w9jy7trUXiCWa2DF1Yteb+/FsmvRyNHJNrXuPP31yJB4rDZuczwM9BM/I0B
Debon69F3jIeU3oS0Mic/aEt6KeBwSfmh3M7kmkg2vSp7Kdbt+z7deaHZxJckk9UnsUinqx7NBCo
pS2NYbM7fNEifYNVV6BgAAYZemRGF5m3yF2Sz8GQvdYhU/Ixg7Xcd8UtfpUQ5XkZwNHDB5sjP4mk
+9pZ8Z3Tz08RA2k+P+guTCmWpDGwsHTlwVLLmtxVgg6/2MyZecdjcQrhv6lRO6AZmfg8sMdd4jw5
tan/wLSMIzwNPyeNdxJ1cNHFeI7CZle6qOpQ3F5MnDQbAVRokYj+ZjTdco1qkcPZHIdFrm4PpLno
85dWRRQJ5gXcctLYGRE5Z37LBYWY3lt3JJetrTTYOoi4AGTm9BJS3MOmZqblrzrLWncohhbEdcb4
Kac9179YtkXkwYyfH23/M1GtwM5HNXQ/uH373Okz06sEC7CwIMt3E4J+pwdmao/TW69zMRjuxrU0
l6Cy6DE06H18T1tmXka+KdI/xtIM2d3zELPnZU1ApM1jqdmvXTcdSSDbailQdcvlyDf2XZBeCMoB
3G47tx5/oYBc+YVW1pshy65r4d86sf6ajrO+GJkT4huCD+67w0NuipfE869pOXCB9oXYyM5g4DC6
R6I677XMKpbOrD/GfcK5VCT4ToMHOdbXEhluWHMbNFn2JrTow9hr99LqrsZovMUKuKE0ee605BP6
MmwFMC+XtSQAdSaIbQ1D+Ys7TXd6B42gEv6Jl+lqgO5Kq7gKxBdDArE1+XWUJ0uqeRP8cA7ghLGQ
x0ohdLdzAji2LsoPVuG8WKSHLotp/Ci6gfeXUbFlCElb7MkpMfrsMx7UJ7+2sIKa5dbInAMTsF3p
tJ97DTu2GVkKVLgN6YhQhFY3cANbVGT9uGIEHy3gYiUrLQK5NFme0kOSaNLyR5pxNSxsdOqYdM3b
1pFrX+Y7BKS1v264yw8BKSbXZlc+jg3Xz97iM/cCtxASL2VDFNJoza1A5DVFl2mo/X2QQqMt3Wbc
ktRHaF43iGVXGQBougi9sya/sNtqffyuVYsWOwqSad3maTU/9F9NEHY/etgTwiAVd0VgYSnQQusx
Fgl2ZEwUOv5iAvPIMSkE/gpltPASOtvC36J7xINheB6pYHV2iKVw13kfGGs5WC9lb5MapsT3WcRb
uhhaB1YbK3niPpca4UWh5493nsTyUUbReYzmz6oljavQW7G23+gUtx1EekjqQEcLx4tWaPg2mete
j0IAiI2Xs+49xVhRIo9KB2DFxmkhNGJWqfVplWFeyeJug9G2Xc7YWkrZMI/A6CJQn1xnWF9S4dzx
1zW2FaaYJsGYgEnGxyxTA7NdhsHw2jjisSyt51x3CYPEYJNkFj6QimgEApAfbUarLB3ZtBAOfj0o
h06hvDpplF3p6D34f00Ehwnjy9ZmpeNIyPfaurbSL9NcPcjEfZRVfGLe8Yq7u1zquXt2MAs5Xakj
GYmshYXPBWchyy09MF71MbkFWH3Fi4frKCFWsE3dh7wnamHOcE/DS43WFYR8R4nb8TSBx0Dvjo8X
mRkfPRclfBOZ+0ZJ42M08ohp8YkYBx3tPEGWV6kS0zPFbTHsO9GCbBmfACiKi84lplKQD7AOUORr
0dxuSr8CHtv5MYJh/bpQAv5eSflNNP1zGHzUpvwK/cyDpkT/xjh90pQNYCIRdFkPw042gv3rhPTO
DatPQwnMWVPbXlT6D7HnkMUkP8UzhqvQ1PN71pE7rTAfXGzjy0DyamRusMHHoq8IveLYGPZuLgOC
7jpKa24H2aKlg1/d5BnvtSanE1lkJG3Uh1o3JowBWUhSlOoCm6Bt/A9mThzz75DlfwYFFhueXwwK
ELct3pR59edhgfrOd1URrjoEaWhFKLR8qo53VZHD7gkN278kbN+Gpc5vythHogxgDmG9Y+BYzm9M
FxgE2Y6BsuNvittgdP5YFLEcQ3uH+I6CyCRj5vtZQdOhcWJLrBEsmsO44OaNg2FRZE6BIaktN6k7
ERgjrCUGkouO4ABJOf3+UKVPw9SWK0xkpP2iTGaqlix1xykX5jAFq6ryhlXcNK84hB/LZPzAluI0
4YFlGOfRoWf1GqA6YY7WA+qGLSSRZBW2JLt+pRxX1icmb8veJUBBYdl9nSUOsQxca0n9pI/ul1HQ
TyeDvMvN5ME11Amaclx0Gi6a3K+eRSe7VWzIFVEvwyYJJSLqUtsUFXJfQ6u3Q8rmRQRURk2XHyJW
SSTLBiVi3MEGfR2M4oPMem26JANo7002GkNuLUqVbErSsS4RjxpEoPoYB5hz+hup4lF7FZRq6h2F
B8zGXoWoklB506lYVb9AqK+CVjs9+dySvBroRLAGKozVaq+z/sFsoGZju/SXg99xTJDe6qoYV4M8
10QFu4LTNdcT4ejLpuyPTtA0h0ovXiszIhKhyCJA3pQSBhnguQBdkYasryLXXjEdvNdJMUndjgnz
yGGCie+5EOVjHrslo+KxvNILdM+a68PcQLoWEsuQwdIwmm1OZGfmu4fRDp4xtHPRpda0L51k0xVC
3xtcXguAINMa56OJ+avEhp1hM+b5PHlhGx96qq016mdaeyMgs2yw8nPg6ffUcngvJSQO33GPIo9b
TGRDFT8SJmxm6xpypLM2Bu80m9NFb5C86w6EbVJNPMYc+l1IeRtUNbkatXWuQp+QGXNHi3+xE3cf
ZPM27btdpM/Nqm/D+9bLz6Pfb83RnBap3jP04JXHWx4ldrdnAvJExMq9W0bbYfAeMSxQcNbNbuzC
e6D3V/UQ39V59xy3FMcjzTU2a7kkxo7hL0Eg8GjsDbeLqZIsrhyQ6kde8mTRdclbwuXZ1zw3jenY
2rIGe+eYhEjPLtlE9gezzrGR6tzsjFy4UG5hy8v9ZLdIRzVyfbrhtdCadd7c1x10brxxlzBKYHj0
kOPnQ+0Yj7qfgLQok20T1zt0/y0lunVi5/4h7wgh0FxnI1tWxlYl6UNCZDIaAk3QJh/9ABqLnmOs
d2Yct6xmqTVMcziWjbYqjXFlevarJXUIUkFyN4fRmQXuU1UT+WMbj1mlG2vdJKuySIGzp9p1oPvb
BCgLC18Pjk3x2geIPpFzXPkhfmL0Wscs48sM/zi0XYs/Pt97YXfVt8WRr5zX42ix6yttOntvyMwN
bJqJGlsr8tsIJ5VJokP4kpDkXNgJbZGtf6Hm2aVx/9L4A6ZOojI9noLlfWi94pR3OFQgmK8sAxJP
a+3qUD5PLsMZk1HlYhDOlWd2t55Rgb4eMVnWtfUcd/V+aGoCbPoAQ5S4WEm4R293MQs/Jte0P9k9
gYKjXWyDovb2PntekgK2sZc+JWZ6xQTnwS1Ql2SJDgpGrEyZnaKiOqZ695Tm4q6OeS1y2X8SOR81
vT5h0TmPWd7tw4lej1CfXWZWx8o3b3mTHMqOwjeq23MTIJtycUB0WIxys1ph78w2faOzWBiOmm8c
NUunBhu0vSAMUK/Fpq2rfT4Pu6Gnpp3TK2JQtm02X8j0Y1uSV4R21cdR8pb1mD/mTfYQ6MWHdACk
Utn7thZvjZCHqHT2hhU99k18Z3vNPdSLbGE7waa3I0Q43mtKZpaRo6ed83IfmPUVodeHYjb5hBnD
KSrTY0z41phZdzTGOITwDxhlpS8TR6eajzeFlGc7L4+x6335Z1rzdVqjROr/qTapi4/15/ivjIrq
u7/VJ4BKDEtVGf4fJLI/6xP2vBjO2MoiZf0jce9bfWLzXyhCYH2738hmf8hqLOs3DzMQpHubsQ4L
37+nvjfVVOY9o8wxAAbYDmxxVDympf8wtfFHWyNV1YqutZR4SVsRNLx5wu+qqBp9rQAbbdXWNetQ
DfAGvlsgHMFQNcnDlKRY679iOgpF7CgqGY7MmRXJY/wK9ehY80D4CMdqhvcxZmw7+AT9zgKxHPpd
fIoKEsKmuYYY0n7Fh3htixPORpQGgMfVnQUa/OQ+L7nDBb5ec5ml+nQXGR7xYSbmgY2UGdtQtr47
YtzpFO3OfSyMXusIYmn7R4nRGXmZLedpKQoS84AgkT6aWtK7sdJe0sIjuNBsSYarb+BPpG0Pzq5u
hN6CLjU+oc70OryBcx4uvdgJln5pYknT82VuJd1J19z82nWK/jZnfb2uyXwSy9gt+l2nBTZxHJX3
wSzycYZy4Jczt1XnEPPgxTaZvWBib2l+scfMbR7vstqdP+WmpsKDxdQUy0nnEjQ3nW8nGK+E1aXl
3uutdmvXvCDNKsbu9NLGtWGsU+AOa5EYXVRAAouYYsFC6eceHsNgzbPP+sHjyyZZh1tXb+dLU/fJ
B4ZhzcV3GxcXnmOwS2ZLfY/r4tq3GonHW+OveVNoYa+vw0axA8Kg7Kp9ZBpdcPZiM3lJWbffjz4O
bEqjDunqUOhxttOtAk2M5rEf2FdUb+Mhd2MxvDmDF775BD1tITAGmyyOEELFPkELjdZMINNqlx49
bp4jy5D1udJIlHLm9h/5yR+QpF+K75VlaIME5VPcfPqrxup7FT77VRQouk2EK/q/Pw8u0/oN+T3N
iNKUkLrxbtzs/kaYBXmf/p/f9e3ggssEWRQmovH/4LBWpqD3xxb6ROxCnH5Kk4jKWmn039GV7UzX
vSSo5/PcPlVesOi+vUP+LfZa/YQ/H8GzdX4q+EbokqbPuSjUM3j3COiGHTlKyzizt2IWxMosXjT2
577fvbs6qA2msCzeiw6+/01+fpwftsmlZkik7bZxthW0tL4a3M+/fgBgNb/+TX7oQUOjKkzytoyz
Obrw0B5c/wtS5qWvAaHq1wiRlk3/IgnFjm9anNtG/MahGoY3ZnlpCwT/kC+qo2OHKMGZ8opLl9yR
nrwa2Qj9+pkqK9ov/+ZqxfDub24R/c0QUP0trDXHLaHUT10fL4kYOw9MJQP4cfGEkM5cVPxPz4mX
v34CalHy0xNgh2ErsQD8APMHBUiBUqklfHs6Y/chBMjw6+wqxXVCLqgUFQw5TBfdnv3foR5ZM3fD
rcGMixOvREuvazMRUnACTdnp/aYNVfhh29XbLH82c+swBHpDeaYlxsNo5cnWSv0EerJHPlySrGvy
BCUdpNlXG3SMtFXTNprPvROv85ABITQwLMjbGst1zg54TvDmPzcM9sPmHl/CyWozzLLOqkeqYg7l
HoElIBli0xK5Su17rNcVM3sacMBZ8WQsO6PDzpmvVQRS9dwkOdgeCD1DQTSjuCTJKRnzbV+Y5UNu
4/m2CKQq/ftWOCvBIDDpsbTYcShWIq68le7lYl2m2QtCpEWeI9rxycJbpaH4D6z4H3DZSnzx3Qdf
KZjfv0WGGH1OOzbzWd9au2A/X7VP1tbb12fCr67aHSa6NY7nJRm6sN0POczs8UXbp5t2q2+dU7xJ
/kMG2vcDnp8/vkq2/O4tKzKQoLl6y5bpHg0GUbQ1ro9Npf9+Yf3b4+iv3pnvj6MfDjwvzucsoi08
awhw78fPVbgEzibMFfXIrz8EPyQh//4rvf8Q/FgS8ompLT82zxFjqZt0RLKPxWgxNJQVy/AMpObX
D/hXJyBiHupQD5w1htTv/4RE9Yyum1nmecDNUMyvvXbz6wf4qwPw/QP88Ldj+EI1FprmuelXHarj
QVsyp/kPv8V/epAfTll/9J15YuYIOPY4V4fWuTedD7/+Pf7qSnr/e/xwPE7c1cjvbPMMFoV1KOAw
59ZPrv1o/P13+e+eOZ9iYvOa8kv7P9VP/lTKqY7DqP3f3/+z+f3f4VupGOff/WNd4CadLt1bPd2+
NV3Gt/7+gVBf+X/7H//gRN5PEmr6x895XDD4bOv4U2v+xeiYl+XXjd2h/Fh1cfHX3/qtq4M3h6XB
YN4KaPJ7iS7qNZUERUNHDYvqjLrpW1fn/WbRXQKDwb1o2l9n1X8WR8ja/vhhEOn+Hm/uZ6+ECmMU
SicgsC9Sjn3/iXI9PR9HMdXnSUNiyb4I3AmrbBRVOMGi4hwLjsII/K8D7pZGwb5UioA7h/qtFYjb
tO7eSlS5ixFYbtL3xwh4bs+CNTXNpQZUNwOu6wHZnU1WK70YAdZZVySfoDwDyAu0cxOE7lUDqLec
tIsDuNediicb9y0COXy85JXjWwORiA+iXEWw2xcOCGDbix5rkMDAVC5Tml13E8BckMEjO23GmCNz
lJnGh3C+OHywyeDW+I3WWT28+uCHA59TvrY+WCEGbfDEReBsYLwfe1FdB+CL/RKF2CyWYSSvO/DG
VlmdGBw+ESm3iwzj2gfrq6XlOTGSa6qydd8BiAOXHOn9CzjtmyjqTuEwLfvS2wrwyhaY5dqU69T/
0tS+uc4VhzkiVngGzBwMLsQb8ZQk/V7DxtEDcI7Ceaux9cwBOzuyvpuaCffWGJ9D0M+pO6wMUNB2
k+/mqbnNvfa1ABWtecU1BM2rHoS0PXeHvJ52XYWdEMS0m0g4KwBoAn9vheLWjVygf0CpW0WnFtlA
1qOrLYyJcVeQfrRKcesDtI7QZENads8dqOvQJLMz7Pf1XCwbUNiJP+4N0NgEHbM5sNZOERuLCnh2
kI7EaymetppsxYqw7QywtrOpC1Yl+G33K4e7GreehMwdjpJRJ07wHGg3dgPgzvVXlHcz+QMLwK+I
byil0b4tsbmdxTyPMTIKp7C2fV3gbTNYGfQjRgmt1Ldl1WWqmbxNy1YeCodw6aZii02uNXRge+5X
/WRgRBshn+DWN6G6zcmtaZiQTdF8Me/dJQWwP7Sl3ppfaV4W5gwau+iI0pQweFpkm8BgiCcMyFFe
NfhUYjFVKxBhaBktyClz17JYlJWJBrt5wCiir1OHgi3JzEvsTaCXki+DjazM18x7DSli6VkraI7n
2bQ3ok6vqyYdsKYzHM+CN4x/Jy9pnzSmw8mp7sgh52u7JRnpeN+dcB3n5cUsAeN05M/KHnp2wM5q
yVSS7HEpXkMQUAsdMNJCNhUKS+Ffx3UfLtwx+UxU+Uilz5az77Hcpab3hkHpQzGZD7btvPH8o0Vb
6g1qSitbWZJpbZRb2GYK8j3xCRM6gkxFZvXK8uJzH+UHfHyPYpzQJOqHxPcO4FtA02jdmgvhMZ7N
tZ9n1TV+/GqT9+jmzU5zTmUW3BUyIo8YWyac6t5adcJiQGAUzwM011VT5Z+1UskqRiSlbhQWmyQd
94GWbROdcbA/9y9ziXEzIzw91t3XqB9fR9FDYRlz3reus7Mchq8uHPXQA+VgVubGkxnjd8vcBqX5
3FYxwg8iHqsG127YNRTR8fMUgof0NfEpDgjPdXxYPl37qnX1qjGxHoyBvqqK4MkK8W9OeHdnFIpL
kSo7M1nlokW/N9fyPmLZstKTaYJdw+s+BsGzlWHUDGTg8v6yNli9WbH7Ax/ROJ0wtPKxrEmz4OlZ
X3IdtmIfhIojSUmeggIa8mofx7PDc+sP0mvOYw5xZkIxDN99P0Q6ZLv+sdD1A46cGdslboYYicii
08erNNLvhrA92kV0b0zgYPrEWRV1gohTDNbKGbWrGLMsLN/0oY7Q4cash1aZK8H0RFFabOoBz9hS
KwM2KigWgSX10V608SbKerEodMLI9ZmtN3xt2NhNXm7GzoRJOl2kSshwjTG7ECT3R1P2312MbN9K
FZzSfF98/P9ci9j0Cv++FrnvyqzLi7efCxH1fd8KEWB37KsNCg0E6Sqz5d2URoeDRzCl65qqDHnn
2kQQD7/FokgwHVJjFN72v/4sREiEMl0qccU3QFD/d0SBztfw1Z+mKIywDUgO8HfVev59e2T0dp1r
ZZ6fZzs6WChORV8CbwdZNRdJyYrDEYskyE5CZumGLf9O74xtLNtzRJwC+lm0QualMMDVWcZhaOTH
tBMvxD8CQGlP42wQqSB2c4QfPdXKaRm54UszZRdCd9O1k+cfYVyRxRZBcIJGJZezMYCNmzJzkaVR
w6eqLZ5KKzp26GWvCiu/8aIUya2y+c2utgTr8Opo9gZE0k00ssutwdX/H/bOa0lu5Ny6r3JeABMw
iQRwW76qq9r7G0STbMIj4ZHA058FHnHEGUnzh+K/nbsRFdXVXSbzM3uvXQXpK2HLKI5KeQPvFWdP
ny18K/Y6vVTfpFJos3SMYCj2JBSozDq6k3/uOoK/w+LRmfTnJOYLJ/YXkiwfx2lQ7F2jvZI9YxYY
b2qQN1DVTnmHNSeI3SfHMDZMuN/HWO7aoQHQZ3GwjIF/K4IGMj9Fy5hdpyPaYsKVodeNyRoQDld/
Y7wEBYIChbradNMzanFQrdV05QDFPJZ4/oG2gI+LZVDsjDR4115x6w79WfS+uq7qO1M5uyJLtpNn
3XhusOsdfT8BhwUKm6ycxvpwrBhig/E6iPCFVcdO9n0P+YU9rJMXX6AgPlWEhBCtxb1m6fR6Gnjp
kAncmTrUmzaTxXMtjnJqmYN0fkS4Se0N15FJDTkiZib5Y1xP/fAQT+mW/052iWzzTVeXzz2/RoiK
ap0lhGSLUe3dxOS18Ql9N6ereuB9SFNEjqnp5xs1+RinJuc+8cn2HMNvzHPgEEj5KJS8N6ja10Yn
zwFaSg5kkunjqsY82sT3BtQAN+3E2VUY+3WdPjII++qbUIrD4q6Is29p2TxHASc/iMlxHfFHHarQ
GjnGQwY8sJHXnm3vHLFI07wQGUhClGLS4/xcirpsbwry6GxYa2WvJySK/Sfuv2ojJPeP6VWvShXb
wKryZS8cr+scAl2kEG6VGi2g0zYAJ3zPIo18Iq3TCqoLiNanes7uIZD40OlSZKWJQbSYRmZX9CWc
xUZdmQDWzhapjr3fvibSO7vCvYeHkay9BI6QYc3zvihZBJdhQwLIVPLJdOz3qqwf/IE33h0jKCDz
NYgTZI4GIL7BpcD073tsYKMD+8EKw6OXGWRw86FnXufvgNKxB7Ygl9hR1q6qsRlXaU01Z8zTR+TM
sN5abAw5r+iqQ2fVDeSkZygVJkpba8mgAFa1p+AotlN2jwgSLS3XVTR/GNn00Q3yMdLDY5ZbDC38
W/qVbE1wrliPNnUH88VnfMLlqsu97aI+i6dBntAJjis8AS5vO/UTfuYP3tfphIliq6pKsCsHK2hD
pbN1C4XZuGgTZh0lX7nF4fBBLsdhqjpcfrKYeLtYQeGxBeXfKCTI9fhQLDC8ugXiFtoRmReO5PdZ
oHljzyeQf/9uL0C9yc2JpV0ge35u3Ne9+dku+D0hi+SkPO+pgszXLog+RE2fqOVuPJQ3bYr0EUGH
2JYj+ghpYYJcUH8hzD+0lrzbCwawLvmjswUN2MMIFAssUC3YwCgBIDgsKEHG2IcQzc9BQRmsZaL2
AUejgD9YU/MQiyEucxfftItykd4X/AvUwjEtRgbC6raGZ5g2cA1nzkplPVhRba/VD/Sh8j4iMC/Y
DgkRAo44LphEF14iIglrDYq/BpQNjbJx+VBnbfg2wFls4C3GC3gxyg2UeKAYaa6ylYDOWC2YxgZe
Y+8YmHKcBqTJAnMECf0FLzRHBUU6tEcOun1UQ4y04UBSlz5ndvfS1JTkeda/iAUZadmjtUFyH1/N
C1Ay+YGWxJaKtwU/OI3FsWnTh1I6+3kBUoaZ9TZmLDgDPDTuD3blQrF0KkILG/t5kHdje5rD1zG5
ErFzV8K7ZND8nBrFUwIHUy5ATLQr6J1BZFYLLNNM5afFQb+1GOoOieSrvaA1jQWy6S24zXwBbyZC
bFQwntsqJ6zGPnjsUYFGTtt5sh7orK7iBeJJbfvidZSCZt2d6u4aC+2qcxE6RR7BaAsFNF94oDYy
57XbJC8WqNB8YYaCBrF2sHouwcITHVBD7tAapRhXHQdLi8+7BYB0BEQKQ47BGRpajGQqCmrUoBh0
hFafTCfjy1h2EBkiTmzvJVXFuG+6BPlRV8/TtRWbRFO3vM/YiCS1Ot6hJFwrzq9T2M3BjeU06sac
DcxBpDUdEWJc503s+x+9mKb9rBE/xZhQt1weKXwBQthd62JX7pHT6CRDPjq+ABwOFGdjNALlsVdx
Qgx1tBKtcQC7ey1EGx3K2Px0JvMznKIvXDnpaoo1smljU/jexgZR5HT8jq1jqQ34auBn8LLdKMbs
ldpYdhifQ4J7jXUxEBQBtnuskcpaLaI8GzHvYIBZA90SLaFNXzrzZInwPgu9g2GMNt2Zd+NUGg9a
X1jrLDefePm5xa38s9LpaQDzu6toqJtW7lMf25KL139XahPTG5rWTZJTdlv1+Fp2KKB1/uCKaSNz
9wk93i2JSh10neyI6mbXJPkt2V0FZBnNLqFCeCW+crjedsFYrvOYj0Ai63t0ejsOOGs/ChqawGqv
yxiHgjdbh1J2Ntrg4sYLGgRdYUyjh4F622gE2Jz7OcklM/J0iXRK0+5VElh6ouyPucXPmI8wKuD6
4TeU1xS5r01TnbWXe+hyja2VwIgb/TeuFjhF9n1TD1d8cw8erC32D/FTNeOaSxOSkCyu2sw6J2F3
Febqxa2s1zHMFsCs99Lid1BMhhgGAa1IWaOxc4ieiwnOnYWxcU5OjWguOop21Whnmz7x72K34o42
5FNfDZdZxytGw19yATk/I9+kdaYzMvb+MDVTB0BeXgoLX7YsOAiNeG+6icTyJA6Zss+jOV/1jeOs
I5d8JDnLl3QsilsnNGd0lr6xMsbG3gwxeWnMkar1yBJp5RbltK5aD/bq3BxaHAHYKNMv3kgN4+v+
1qtaZx80g9rjBW/PRd0AS3XGqzzFUIjhbp/lobEPfoSq2T8C1twfYWvYv08yIX8N9/wx+BHJlv+I
Z5t/RLX96EL+bscE4/b/3I49qPzj32l9lkf9bMaW0W9AEyM9+XO++7sW2f6NJbUP41I6uMyXPuif
U+FlFLyIb3zTYabMwPhnM0ZUoQMRk425QMWMpfG/acYsn5/0y3bzh3F5MbgTdWLDz0E688dmTPgF
l3RvTzd+FzW3XjoV90h4vVeVC/uE/zF741Dzdj4r0MsIqYQw7iHeWO4wP3vB2D3Epsr3uDHAvuC+
wl3bNczSOAL92rzOF27U4Fjh2XWD5g7UIo8ffFNs2M37W1NV+mD4wUnb6IjbLu5gRTsZExiz3Kcl
SCpqKXQ/VavfiziOTqrmnhFGl27s0kRY6/sV5+D0HNg1LlfQMmHhnXpQKtBtjPGqzBSxAWrUZEIE
IcejeZM5vcLtnGXrQNbZKk5oSSSuRhU4+D3NdOaMw4XyWU3WKFh1FxuaiWiZqr7FOgoZqw7ILqtT
ChFuDa87O9pzgFUJKfptZEWvZjaRE+A0O1GVdy6Kuy1QO2PfyWjGu9A7JyI2vG1OPBjdWntMOhFs
oE8Kvsal2A7ErBykNfirBLDbqS5w54ZquJsbWGZVjvMTZtu8MlwYlRkjMkrH69RhezVMvDpGD2wo
GSsaq8RCo9DalGTeWB3ruD0x3X6vK09jQWNGiAIt3VrUYHFUz90CR4+3xgiJL1+YfCFwvlQYLH+h
9Wl32Bc/+H0LyW9YmH4auB9TcQZiJr1ZsZD/SF9dZ6AAcYDdYdFzVpnWextYoP3DIgRkHIwDKMGh
tm4VaEEzasnkADZII7jXNoW2B4YwXHiEciETMl2KsK65YMHL4orL99NdOIatHB+GGD1Ra+MnJKBD
sFmm6gV/WIJBHMAhpmARK/CI8cJJnBdiogzl7RTicQalWMwJdyJwxUAsFOgFt8iUtgK/CD4FcBNA
RhkiWppBNBZ288VZmI0B8EYA9nsiOJ7qheqo8eLBrcY8CHIfJFmdudRvFPH9V8ExvrYcFw03Td6Z
y7XiW1Ek2dmSNVdqP+XqVAWhs/GsRp8jaSfHvw/j/xNgstv8i8MYGdO5T9r/ufmStNW/EzLx8J+n
MiMyvpGEOQUwPQJssr+MyKzfSIk02coFpoPQhenZz1PZ/Q31JdIm/g8f8lnAo36eyuI3QGQ8jC3e
P6jJP9eWt/83+mLj+R/3+n9cfnMmcxeQFRHAkjBx4/7QZ/6iH2igYLTQTKObiFlPa18l4h+kkf/8
DHIZsv0yhBNs1R16VMAmiOSBA/1pb1xYygyqfNLXUeYdAQcHO23babPzCn3RjpYjRryp3TPbTbdg
z3FaWJ3vPtjY42ixcFReQBoELZrHsL70jeGTqNg7sr5IaZh6K3C5RBuzsvCGEOFC0zya1SGLC3IL
WOXtNfLPfaPAtY+WtPbMnuttq0YEMLIC5jLI29Qroz25n+amVxEBnDAV7W1EaKSxL4txVg9lM8ff
C9ScO8cCrUNsQEuoESFrwk6B+fK/tlaFs2wbi8J0HnBAIpmnmK7vOs1vkdQkmBuWC4ksfnUq6yrW
MTdAzhAtC7KjM9R7vDDnketk5XXGNWy1ZzdzHuugfWiy+UwQwrOkemOEUSv4QeJcN2IbifocxynA
nyg7EmKTIHSVV9Tz5EwUPkMJRQYS/aLJPmVW0wk9/VuVptOaDFCYaqq+aQjFOLADO/fa/BLLbMKw
hq1WhJSNfm59QnPIN1MQbCccISugqQTfCHrJTmt3Tx72fFVP1dVAUaiL7NCRY7EnTbjZJM4MVLQC
HZtcCrDG29AR9YrFJ7d3cwyb5D4m2IJrF7ZEZGQs/xh6RZh5y1ZDuYiLB9V0VzFps/hkTPl1Gii6
pyYa16Ytd7rio6qtZCvQ4zJ5Kjf4NY+6qi+jKGlRUhY2Gdgc8hZppqLUXToV5npa9Ie2JD4Hm58N
c0QAY566S03fBPyoOQ6ZnvYqNz+F7L+BL/LBycuCSSXxnas4c5O7qvQLrAQicdew/MnOgLMXAOve
t775NTPi4yyN687ynrrY2OdxKJeUVzaX/jI+PpNQdTeUxAGl9gb0/7ZlrFxIILJYIfb+2Nmb2uGF
p7k4tObwAi9PwfSNFifuOyrnizI7h4GgPqE+vJ35oYOFCYIQpVlYe6IPP+wW8q6hj0rMZyc0DoH3
rMN35c8nr4Bh6qbRtvFcBnMWnh6yapmI9p3f4c7Jzq493UZhaq0dspZXIFff8sh+c/CqkdFonQNR
RjQRN9DqpkIwnJx7+glIHiS6PPq6fRLZAAgXsY4b0+8P+KZIoEFOOyRX0P+OzGxgUQ3Wc2XEj75f
PBmVwkU87pY9MkiTUx0YJ63NedWm8gSWfJ/LnLWT124Y6GDh6UV3L8b0xN935abmO1MhumcHUWSg
uP9sp0qvAeFmB20U9psafe+19RVkUj1N4VPRhdm9Dr0WSUFubTHTN4SJdfGmNjLWmXkHuaSbiMey
DXMz8rU4D5WbXPdixpiWN0PYrvtKLt8wCyPRqg6WdWkd+l9miVE1ZsxisLnbDq1k1c8lHObVsKLe
avkwO0vJ1OdXTP5wstvufWeasKjqsd5EQ+WvLCu9GtT0UFQZs8hRYe2vWtK5AvEq5UPKO7+pe+YK
nm7Lk8/W/xJW2L30TDtOtvYXEdHpSpzUfOUwlwn30YyqjNdxyvbRFJ1TDK/kM4R3Wae+9DpYpyFZ
cymRf6FhPpDn9eY41TtwS0Ts6WFIu+9eM97kLgq/iKTuFfFkb3baM6L33pFTrJjWkp1iwUkPxxRt
ZgunJ11AgaG7maBWpgw309r+VshO76va3aTl8DY44d4VXYWfqn9nwrKrGt7mbAQ87b1YZfvs9gg0
LAV9VacPOp/OZTAeuhq7mzGmL1E8HZORr6jWlwFSZlQwcjNzed918w3QlTcdu9cqFWtfDC/jUhWN
6pR487AbBJt/bTaUzbjfZPY+1wkm/1TukRGyCcqRcXR+Qs6KhoJPUMQ6deUDcDBewRx7XlR6j0Tm
nTqHRI02Md+4CVAzILUzCFNkWdodVBq9uFONA8tsDm7hbJfBCBvwi1Py1xexd/Z7j8Ca6MSQ9y2o
BrJF1boi2BcW6gHPELCeEO++nX0YUE1Ynhz6nF6k7sMPs8tOvNabZNYkp9nBSfTTXVuZ/JqiPaWm
cWhc+R7i0BkY2olueAiFt8EPOu9aHVAwJ/Et2IjvYIRwT2PTMUWKBnROLoGb7+uwfizKbiatWh2G
CAAMrJbpbBHUkdr2uW+SdxkyqG8YXtu26nZlYVorJcR4i7U1XvlN5Gwzv3ktySfZGaZ/YwbwfMey
rhfUMPAdRlU7iCJf2dDQ3mBdfh0ryecFG8R2MmnxHJHk3zSTuo3tFDHBH5N9GeM2/P5LffaPsudX
lfOf1HGUICTuQkunCoEcYkkqrT/sATPXKooyNK7T9InAySz4Itz9/99TLJXWL5XUxKdYZj1PYTK9
lahbqhud/j+UhEuH/MdKavkzpIlIEca8uxiRf30OG0gIQOMkujFHbnkgW91Z60e2c3/9p/yxUccr
xKvlUrQyFJIkiJl/0hJGKp0cLxuimx7TXo0mo7X5HtZPvbgdB2slW0QB7unHc/4913F4df+6lbh8
kP/3r3v25YE/m4glk8C3kNShpmNmASvnnzZz8lBsiyW6FziCe/SXJsL7jVUIy3RcCiaV/q+B095i
oUBgzufov8+b+5cmgomSjaHdZahDKN6fTVxtP/Z1IafxxlS3TSS2EzyTX16Uf/P9/dMnEjcETQh6
QlaAGO1d8acWQo4e0xSv729akXKwPxvmTeDeteJghXwksTJv//r57MUz9+tX7V+ecfmNfvk629iA
E06p/iaF90IdF3XBamqVvaxnVHs3Nso/DR0cdZkB7mjlTqZTDShfw7Lrio47MCrlu8bccZQOW7Op
rsSGUT04DD9mlZs/lz7bwaoxQbFk3wNtvJYz6EjLFivm5ayOYeVCdskxkNsxpmhOUNAuSXQQmdwj
Mkh2rus5EDVZloWTLtcJkI6V11CYEbECIMwGyjsSiNUn9z4iSpQYauUlw9moQ94l1udFCNOlJoKU
/cxqkuNdCM+OqsA5KGXdDpA7mN0cS5MtDvOWKwU9h63XU2NwKw/l+zA75EjFhwGi/NYi14kJ015U
/olJlwaIp8YdzVxLHsV0Ub03P3gdPjs2bRjLHhivyYPE0pBaZX2oZWx0d/MPj0NfNEgdcqT7He3k
dVnMGONaLil6vhozqn+WcrwYojjjLj/qjGCcILw2zOya1c6LlQes9zFtrQLH2TV28lW45rfcUC7Y
PXHRlTiB19kMWXXuwnELUejIcurWBJJUhtyzejqPkz73Psi9bi5MBuzjVTuYLzUjHiEgCBTl/OTm
2A9Y0mbXSV/elllHDAD5LnN2MhVaDF2xSsg6dsu19kkGGDJIKFO+bVPvqe4gkaaGGe3soiKOuB+7
fR7aLdT8ejrnZJPtWt9GVIGKbrwRsX/f9o3FnpmAjjhudlZVnMI8ue1L42Ec4MZgDV6xSd/6SYDp
t/vmxVh1LZmCdhu3QV/0EGusDXcjxonprusVxzlWHzmK/dgMO5O8mo4rubDMjVLqYS7FbRHWxBNq
TOhdng33eorvCYo/NtBs/Mp/FVm51p7bPFamgUQ/ab6XgBZIP92TAw1vClOIIEgBjNCnOUZXZc/e
QoCM5AQ72kUq146T0OiP7Oej2zgZLsJNAfkXe2267BxLsiHDq7ZV1DZ4jOcOyq5xzZ21sTE/c1Dc
TaAHYCsgrHREuKsD51k0zMT4hqzrDCoDupLpkI1EaDR5idIhggg7GaesnR8xFcarKe9Yh6mHdDA3
KGT5WIdYC3rf/gj69INtx0XVeYrGhLCRsWUDFbZjAUxz8A8/jpm/Lz3BDOgvL73u43/W+Ufz8a/X
3vLQ36896zeGZhZeY3dB+P/p2oOfgqbLcQUhPb9G8Xi/4XeWi9dPeAtZjvLl5+xMMjtj0hZIhm1Y
j8Fe/2lW9pezsz9ZVZbp2cJEMWG4uC7PtvwSv14SnhVZLLFddWP7sJZBPy1554seU5MHbevIOrIv
3OUgNcqitNkQlvFbAW6Dtnjn49ZXYDg87Kypa9zMRrg1kT0jPvHUOV/YHXy1nidgHn5QgQhq6ad9
o9sOAD9kExLA082oZRcOiEq9O82GFZHznFbmNgcuzOjMZRpmafOaDJcBQoAY9nEYMzx3OZRKs0M4
ZQXbOW2QtkTTBjorOwdFR02m5qGXY7ExQkGCOGkn08TQC9CQu4mXGNRhMJ8GCygnGK7R7lpkyiJb
SxO1qNu4XyV/57padF91AGquH8gFR2KLg65MvwYJEugpJMWwR7uE8oOxSSnCY15xMmAc2KqSOT26
r/zKdY3xHCZEjwFxKteiSZ/I56L1yjsLS1B6o8BiuekE1m4GhyD7R0ZtEoN2/bSMNKvagkrhjGeh
YXE5dbhIY8t+Uxr5shE16zXbZdbLdX+pQJkSS67y3TwYe3R2J7e0yQwdMLgszr8Rz9k8WgfPITxm
ypJvA7rvqJyvUQKhavGIsenT5jXvQKBAt1wY3+c+9lHrAUbEtd4jMNLdWmX4BltFC1Z1KVIQWx7T
Tt5lIbBWh9zCjT1H21oU/m401NfaZh2OfJy07nEramOvzIKMmuSGsuTKcWhzC9GiM+MzQzrFbZ3I
buVnvDQmA4etoP1rmdq0ab+va+fiuTEGhUAZ63pIFSFq5SarjH2TGnisVHuZMxjbSDMaDkJ5Tyt1
YWirts00aHAqAiZoRo6lg9xolYsOM1ZmeqzamWNFLf5rHe+GtLxEInyf6mHa5Ya/jxgtk4VgPoua
ZDyEdRsLSeVUd3LjJ9FdxGDJ0ov+XyNOD741cgToM7S8hq08RjXKf7wh565vbxLV1sadUl4+f5Jx
kR089NdBVj1nIehX9oRX7aJoL/tlX9YFbyoz7zu3+eZXE7F2LLTmaEc9BlhlPAWdsWtM+0rl8XWi
1EmnKA8UkoWSWRA5Tj33cT8eZeh+Z57XU4mNjtgnfegRVlAO84Mt50tUU9lYeTISfUG1MzqS5xV7
NOv7camHiIk/jBRIjfvWLvVS0QdPJTc1GVZXjU0WbtG5KKod6MjzbT/byP4RYE9uf8dhh0i729i2
C+otgUQeUrA5bXeG8MD0l4GdoqTzLG+NjORhBkm4kkvVFy/1n92QaiMK8lqDyKIAWupEh4IRojk5
sksNaS/VpFrqSqPnk1NW+BbKpeosKD+JL331RPldUZYWS30KUf55JujQtTIH7SE1rLtUs2YTeis2
lV98IANn9lQXtH0cE6Z5WyhISr1XWzejk3+S4qG35jx+9i1ozULqe4fV7tEph3emPTsA0q9T4sEV
rndBi6u3oGJmitOKPXCelxJfP5YF7nB/QquumPI3t0GSX5nIcJBpDGu3Dq9TMuI3hMseiGEOTp7h
Pvl4QnjmYe0E4tEyXXsfszXbzLVVAStK9bY27Ivma3DrqeCegvRA1it8v3wg+xR1ro3oa+HY2ojN
ug1/K0OirBXrIKk/4hq6YDehpZR5voWd8D0KviaVd992zn3Ga8I9YJEtVuZUT/5t0dk7Mwb2GA6Z
WKHMByI6o48dh3Qf10yNkjSns+jIeOLH+T6oO9eF8u9G1zHAGZAGyXAlDKvc8oZOB9fW9wvM2ioq
wBYqQYjml4dAk5JKzRodNaji0IBg4FzFbI/AP3jv4JVYfhbNKtLCZYKvd0ZcP9gJxE+EmhiSZL/V
eFJg/bZfM5ukLQMhSON6iEfq+hK1+APw0jz0rj4Ls4X97dT7HoWkm1XXDCzzY2WNN1Gn781JbY3Q
mZj5eFeqDg6GZYyP8Tz1u7G3P7MAX0jrsbaNPbiKC0jq73rqxz5y2Rr+RT2VfDb/tpTiUb+XUgu+
FxQM4Dn3H+a/38Uh1m9UMiiMHXC81EZUMT/XkMFvEGCITWZ5R930hzUkwPvAouv36DKZFP13Sn37
B8/gn6OtpbP3bI/unnIOIjBQhT+WUrMTF7GtEtKTUDbTW83sAq13FX0zMQa63MGNLM+JPyBIHAME
UBX/3sCIRdd405MswSD+Pu8ZLrczax2DBK8sfi0bd48S4d4p/UsVcL+13pslBTt/3W1nL7vqXHYC
fMBRtUYoxXX5iMMezlxg5uu6psIxk+oNlehGuvaViwQcwurHvCgQ0/nVFgabSN2dYpdvp069dYYW
t2UWskrL+dWKvMNIpgTOnW5plN9gZz3NvjrDm3/FUFGsMtf+bozlC8v65wwQ3Er07q4JjN3szbcI
3rwVf9kewX8PNI5wuwT1mxP6ZLiG47FLuAyMCQhvKfZezZ3WIuaYCv+5Hm1NgTF5R0Tv1moMxVVq
5oyMR+OAgl2AWGjCQw9nXgl9tJGxM5S9H6v+fiJV7Sl3p4+84pCTtX+KYvOF8ABSBWCvVKa+RFnl
4kDzjK2blgf00SkpGf0V8sYjqhx2IyExS9Y3Fm3vUdg/TRSh5IUgZJj98T0zgbTmFCO5Jz4dj/Ob
QefTDxLPiAgd52W461rSToA5S5jh0yFtp73vj9sK8H/f8ppFUQ68fYpSieeCjWxz3enOirchDPE9
1HdXs3BKJpZildkdlU9R23kB1a3dsSepldl4WzsRsGra1umCj3yoR4ow1+42MjN1sdJcUGJN1hIk
+VxwyHJKrysRwBurAUMr52sZN/WK0tjeOAjzOBoV/zWyOJrbryg6uCay+jvaW7lCCrKZmGBgTsK4
FLnZvbeYHzzHuzZi2193dsXPQJGsjPg11+Kt9PW4HvTwgA0vRr9fJRtYXd/Sqv1u49uYO5rRwcuf
Iyn4KMCBMwek2xmL+6Y0ki0CGGcr3IUFDd0fj8VBxM2bn7ndDtxcvnVD/23quFUqwUJXeuM3Zg30
yzlp2VPREfeVtD5JBEF0ySOC4IkN25RRdCox9QmNJLTg80JN6WbzFZnp+1RVd4OTsjmBRFstEHpJ
aCKbz5WHMwQ8tHwJl8Bil3/xrfElmuu7JEQlLYz2PLZvpetiQZ0MdQXcaU42/Ci9Mr1sYzAQQp2D
59KIW7J0NFy0kXec3e59P6nomMXIpmV5jQ/upMvquwxIys2x5pm7esqar3/fKz/uFZdj9j/fK4+f
8Ufxb1r05VG/3yuLhoValIb7J4zn93vFIUgXKSIx3YyFF/ngz3uFcD7hcndgtUaQvHjA/tmic+Ug
b0F1GPzQHOIb+y9adNdadhV/vFekxITMczGiZnyOKf/XFh2OO2ms/Bo3QxBn7SZ1IJK6Jm7c0jj1
ecTgUhCVZAwTBVp/1ONkrRQgra01BKfOzeS64trcRen06BuKsicFJFxaSb7CbrFN++prZGt8ZXPH
0GoPH7U3No7RP7f+LO4nbAN72cjwHIuJVk97G1nbzrryhuYCsrVH3G3HUCWtL13YfjehFx+IosXW
nYJHlarNtonmVLb0nYeb8q7mu0QzOQI8yTHRNKT7rfKAQixC47uagiqgwi62vs5AovbGwUq9cJuC
AV35ffLNKm2NUXfha3dlOhxkG2KNrWbglE4WobIurZvQJlVX9yX/BuDx4OFvXlU8/ZzkWEeBkvEs
NPkzS7ZV4/jo1ZyRw5xhhIr5HtqHrgE1iFLto8sdqD0RFirVDe5qCNN75bZrNtZXg2ESWSwh8JOL
gro+JoWp6QGn9HW8bmLJHMQ3Fhn2Q9A0hyo2/aNbz7fNmE0bRwYvNJJfVaOua5bxWNHiEwqnW4Bt
j9FARtOIlXfAFN9U4mj2wcVtAXyThC5xWwuPDk29pmN+wlj+ptMOXUlgfNeRT9BoR+RtPry7ZfBZ
lV59tASlcFoCuywlL8uQE+HnxFF8TsgfY2zQJoDV1K0/pc/0wgX2We6/vHT1FqHpuC1UCTOxbV/k
0L75UpMebKttFuGpmKKEAUlePyvO6F1h0oxpX0ab1tSPirc+z+3BWScDafAQ4xjWMsBeR6K/rVr8
IaY3wuuZEQBW3SsSxW8Q38UudKxvFSl+O8RFC33AZpLvsx8ovWEntROu57qNeHpcv71JiWWC5MT3
a7GjroRzNIgm20dIdNeOr/giKP/7hIFXZO0XZ5mZBiAFtlbaomSX7XekhpLfdirWfPerdVVm+Q7Q
NRiFkCl0ExCInPAdCTXA2EHF8ya0SCHIEbBgN9xHA7KS2Nc3zhAebLfE3FjeyMw/Gkay6+0jvX04
XgJ+Ziu6h4oVxVpOHjEv8sULihucRBD5nXTahKneZ3BTzTr5bMvu1ctjptgaea1KK1D02AfWCuzd
qkvLncqqCxvUfYsjpo36Y1ZH566AW2/Z7TpB/2LnwwGMPuUV1RYWb31T5PZ88s38LW6Ta1cSVCnN
0TumtXe2g+I66ap9bjhMXdoJw1GWAVaQ9KJRbPkA6K3k2KfJ2e4TbG7VW25pLDljiwXACp+E5770
TXtjF5nYx6iHNzq15NqNAdQ3ZUfWW+Qx6eq7fSRQfkF30Wto5PejDF8ALpTAqXCTg6fl6OFxUZFr
omtyQM3ZMZybz7p0xNae82UGZx8Qz87rmChg7OBZvh66+MUOnbtuxFLiJP1ERmMrNtnQyENWm99d
EK4iSc5JHLPNyGno85LE8CJ5m6XzGIa8702ocLV3mDwRQN2jMCQzEohT5JR3toFwy5p9LuV+3y0S
mrr0Q3yFw13DdCUs7cchbild4G547IswOSJG8Yq7vC7JhU6MUzzmT4nblRuz0yc5+dthSTlmvOqu
05q4J1mSUJdj/dnMZnxBR2TgElIa703+PZrDR0iQDCMsCh0nQXWm4/RbUxGMqohkNf1x3tCMkPCE
X/RqjDD9dH6180ZyI+Z6vpsYGW5h7DMQDKIHza6itxFThdVVEBTDTlT/y9557DaynWv7VgzPS6gc
Bj7AYRSVY7e6JwUqVc65rv5/lsLeCuy2+1AD/oBpwIabVLG4aoUvvKE8oNeKnonieyQJyUDbw2ym
sUnrhp7QTUIMgvjWGhuiALyx30xtWpRmk1yrRns0okI8wXd0rrf6ogSShZ7HYZCXRLpuvT8yifDd
NIMJadIS0uvdqOTHhsee3Qs1DEKtQikfamQh655MpPfmVsDqrAbEmDTlRwYaDrxZNOkpzLkRjkk1
u6lXL/SWSQC8ip07pwsY2zMjAkfdD9YVDcLjUTceopqNMtDMDAl8AUGDMlkDFFG0DqPCyjktndFb
qnr3LWbegg+kR2l1pT9tVWnCQjunW9MSU47ADgdvzdlZzrPAbyaST1UA/CtsZZuioGRRjimr8iaI
lEsjbWKYes61YtU/wogwEdYVNQK8pBDHzxV2ENhhqn1L2tMvS6dccH+38JaySWpn95WLwpgTKkSp
vjaeIFRs4HpfnHHmAQbkvS73D2sH6DaJwlTLpQyhiObeFbBv2SruNcRowtBBhVxyKepg56IA85ro
3uAvYGG3ICprfeKGiH+wyoqpaxsnPlC2WZ4HKcU5eIyNtz8guja32CclVBg6Kb0cstEHRRr+xPjl
zsBOieQ2WcIJXxJH8Azc9lKBTEQhtrAORsla5bVQqUipoZMYWZTlR3SRJaU6pWg/84bkMZKjbIoI
xmlv0V2DonokY2mAomf+CKHUo3Hg/OiEaoxUJJR4UnMd+cCbcgA3Mjii8xK9ZHbzynGP9dZf+oFu
4LdChXoFwsgpTrI4znxzUgYyyRekyHacy4pT+M/yaf/tdxkEsL+Jo8sAJ4Hhc69L/NlfgTQUHYQS
FCwDRBFGoKTfBNJPyCVDgTcDtOmlOqMTeov2lqUA1NEIuQiwXxtdzh7/joAkgjI0qVDL/JMomjju
UxTNlg8YXXX4H0BUfNPbKBqF7t4siio5S8E568eV2rAjDU1AaYDWaqc6ACtbyg+s2TsaEj9HsQJ6
lgKEUlob1u3Qdv48Z7GUNIQKsXqAeMfosVgnslhZklhjcHRYbWLdGWIFqmItIml+IonViZRMDXYx
O62G+l4SK9hwuntdrGkfRkQjVnlmB4e9WPeaEx5LbASlnBmzTOwNfg2Qshb7hTWUqL4AriXmvG0x
rx6TaFjKbDISm42PJRMiNt6+ZdUnKU2RSSS2JaPofnREpXE9xNOQnUsz6huPUtsSVqq9hKxqnnq4
oGM3g28SKm/lXGEXJKvNlpSXEEFhhwwQtct0ghd/VC8BNxQTHGPPe1U+SGTjQa+TpVZ260qHwasO
0bTEwbEHC4ATE5929hO5vGngsWQ9HXWMoW6yyrxxwlutozCua3eV49yVanVajsF3I+vvIhhXM3Tv
RjqB5pnEzQK+6PYTP4CwWEPJHqXGW9DNuqwC7QQE8clIk2wayuC8BzUG4FvYySpUqmJiKEgPUKI5
kwwULLD7Q31R8tFj7pXD0De9ZSg15qLw0EKHOT63q/7arDAh71B7xInlwM6AYsvEbvmgo44YFUgm
5qm6HOpuCUobImLQEBFjvrqMLL+chTIOgGbr9nOjUfGYZKuaWoOKxHv3zbUtZHubM1NuAByl6HVJ
TrEscbuBVkA5LIIoBaVp0tcd9NtuBI0nl6tEwhqxVCV3CUTQnXZ4LMgWgjY8Cj4JeVsqL9DyOes8
eeWFVj811RCMKPKTtb7vKMAvo9G8rmHMyon3rcrqBzJfiYqfmiHEiYxIWzj+wm7GG5jX+cxTMUGy
8u9S02AAWHXXEns17U0cxUZw/3OtjS4HScVYQcVQR1Gyx4S4FJvM/FgfnNNIRxOpHnoYYlkHPL/t
5r0NLMbqEIGWwtLGESDAkAGfn65G8CLSyn5du3k4kyscZLQSQwktCr83ONPEwbVWC1aAE1hz1tpM
11tiktqqlylmTROjQ+O+V1R3quFsgB/SsQ4pe5aEgTYbJekcWoY/H9ICCLJKzJvCsKW+irII8vLT
3htXRPnrCO9lMdcude1AGjivKIJKXnmRWdUc8YVwRiQ5tzGlQC/uEWYLnVFLfyxH+YdTOfgMxSc5
rlgqUjMT0B7+3IQZTUkKHn5TrWN9TBANXaFTDQDWEQoO8BqYeyGRtz4t7eFRrcqfntQcdll9HufS
MTzqaIEN72yMAOI69DAVGV9oI+3USYjjDiVeH1+uun7MpYQsuu9U3JasdVCUP1H+xS8RhYKJmhGy
oyVuHtQN3PbKkGza8zTkORsn5kAY1MbmXa3Y1FRhV83YkA8rqezpfDYgpsf2ANJ2O1VL78L0+3UI
1Y7SW0Svuqhi3CdpFFV6sW8mIGT8YBR42csaSRdB95vHvd/NEBnDDiE1ShZdxpKwTZyWgnCe9S6H
NhZleuP2U0vyLl1XP81y59Jx9X2tH2yCZAfz0iFGhSM/8ZDhXcAMjm+QWQrw6QAHJlsq/SGxsI3w
O0LwsNXaDhkcB/Mt6hK3fZqZk0YPoEmnB2zoF4OetfsFPXp0qprznJgS8qAxa2FaLGHYo0FbafrE
MPGnt9MD+A/6NCpihPja88DQoQKSILgBBqlWVirz1Iv527a9NLA22x/T5pbOOETwvHQnaqr6UzMs
YGaM0qOjE7fXfhksbUc6T4fs1tRY20VsoS6SCOc4aNbQOsYU8K1DbSErbtBnd6e1DSo6GdCo0NCk
nfgQlGYZe7aRp/IihC65iAUo3gm+w7BDFcNNF/hUIRzCI59w3JXTTgMJXvfAtVArYkyRSViRHyBm
rqNYixgai8aAK6m31/4QnXecidM6hC8ZGND7DctATAQOy6SxqWo2If9mx8LDVhrRYtPDY0RvM+AF
WNB5cgfdJTKvDZR30VW7NzLjDGebh54e4wTcI3QAmI1dCWvIbNIjAMIFtj7jMec/eu5Wug/Ba1XH
eTnVB7UBly1nN8CY4lU1FteaysKPU+27hCIcqpj3XREvHDe85rCXD9G0IcW0nVUFttgKiivsJPY1
CS9OHCl6xPqANAx6t+8a2kRwtZAI0pELI+KfqZZ1F/QZEgZQrKZFlo+LIbMvFDcp5gbZLGDEPp3n
OWr5bdy4K7kc1qbEZKj9Vl1EkY0tFomu7UoHgeetS6CjHlQawFc5qnsZf2/lZ1kESAtVJG8Oi+ou
x3RlgSzdD12mtBUW5pncmN8yrM3dPO73R097DGWqFVqL4YaqlhCE+xRjNQtGSW1ilCxnA9MvxIdV
CQZnAiHmh1m1J2BYgjkgRKxWJXZtf6CGDrOhIxQP13KqHqOR5k/rwA2J3PPDoMVnTK/L5TAinNdo
wthUjvZDGqFTDNw470SlvVDddJohMDA3Hfve95AKwtysXAAgkdEjaNsZYkHUDkaxq5rfEySg6XEg
3J8U0pVfdtcUU0h2AmeadTEtEFhkXmPjKFZlBd6A/mVtIh/oxvWq8ZpqmsjOtZ42Z16M0xCgAcpQ
uYSsn8l60tp60XtSjNJEupKInFiQoYw2TXWbe4nwj2TZ45dAixdEptxRMQoeOpo0Um4+mrJ0JWk2
h0BCXx3a2qMl+vVqrN61Q3nocJJPBsu4q1priV8BlkWecuCmWgrwqMUH04y+e0mC9FxfqlO7Maeh
lEAwuZVtchkHEoStS9lEacKDXEhs5k2ID3qA4QhUtwlt8R8eFgmoOYZXCsnMBFDuhZWA9VQxJdGd
7nsvlHVNf4SRkmfpvKg1bwqcAuRFVPBzdHgedgdrLsv0Q7ugamcP9M+sAuPlrns0Vep3zJl+7kXa
Qm6bm7xl6fqlco7HGl7Fg3asmQHlOAMxI1Aml2bAMzIsqBKZ37NPl+lxr5eo2Jk69cj6LkyGaorB
zfeix2E3aeTrMQ4O+iG+om2YzDrIPJkl37Yt1kd2h7aRUyPBiSbbUV6Vi1Tu7Yk8oLoI9Ctj1oYP
DrGx32JoR5fyYUzKg9Gh2umV40pV0xvkLma1FV7nLY27iijPitj6EB5BE9TpLJBmATfZWEu5Lx9N
n5DOynqsJ4j5WlhfQRzeNFa6cl13hhbfmibjbVg3p7peHODdpMy8pF+gTMlJqWETXFgXva/MewNi
s1tkl5QH9mmRrRwDV145PKvp7A+BgqiQRm/IFS6q7RGw3lUT5NPYkFt0+0IFdQnPUqPzOB3NmwEN
T/ukkLArO4+NGpbMIOALRi79l2jwbL1g0Nr4TQ7aALd82JCCCpXidVX/65+SgiMM5BhKMQg0kDeK
rsxrCgqLmd48BGbDgX/yTs3P3CMgEsmmIcs0UsBU/pWFGntCawLNdGgLSAEC7fyDXo5qCwzA214O
X+woOmad/Dd8almwfN5g8qH/ygXc++YEK1UKYlDJkOv1SdBqayK3UFXLGBIZajxD5h4Hpd3NDKWr
pmXaniVVtrIcVyKGg8vitMWskoJDv+EEtuBaZYDlZTm6bwkSkaBsOVYkIL9upx5no6C6yaY3Tar8
FD0cCGb4zFf6DTpAIDJ9h9q7kN10pHER65IE7dWnK4wcqIVV4yTIw28ALn/mQ3bd+qRWWY2+jGua
38oCCbw+/V470nc3hXwLawho9HEb+Uf0sH9WmU3Y61hnpWZgJuvZ84QfBno5MJc0nQ8aJfuB3syA
64o2cllSxiLu4HB114Oal3Ov7ha6Dn5aDfHz1DsK8oih3Rc+kqV2bB5VdXzVkeJObazLjMi+yALn
HiDeGU10jAAKUhDZC+u523Undt4iOJHe4Z3+wy2QMs/SO8oZoKaj0ps3qH/tV0j3ebmzH6BsqIfe
z1iFJZnHdj7rcBamFJfddYpzDGahniUD4Phc1cbZgE/WgoJTOQUBfFRXSFHo7hGx4WykKkos0S3k
sjvwHGdfkCdx6HrE1vUB0fsrDb4xOrs3iTeig2pxkzwkRy7BJ3Q4GaoyyZraF+Y5DZhj3+kf49BB
Rwt0aSa78rQpw2qCCup33TMu9BpXQzuIrnRPfWxUs10Ngfhzgzge25ubRGr2q8ynwW2YxB5QQWnW
hTT84h+QNSJqFc2J6hsyQqpYx4McMSYyshZIIi1kC5k1uPHLovYz0lOooU3OUwMZ1k1Vw6QIQhW/
gKFr4qi4dCtCC6KnA8oS3qwMEUs2uvHCio1llxqLhqNsqo8I++GiC4m87pWJjYDYjKosVXALcXl7
ZBIPFc8wUXNv3pXjJbR2vjW1OXHbhSs3l6OtHQQdmD5LpbNXFa4382Kwa5CC7+qsv7EpaE0sM7+V
lawEYOxOy64H5ygH+2hL4Lsm+fsyLsAzyYINIMvZ0hzkpSJjCgA13tmv/W7AEc5+SMLiiMy1neRV
mM8pZaxMbxjQrGzTOYfKdVYYMDIARDIbkwlJyG0lBIvkUjEn+gg4ksqTeqinyMX1cPu8Vaw6vjaL
ou67akdlOy+lyg++MQxufarWFqQHMzC0hekmcnplkd9kM73OkbXETKPyp+QF1hlFqQChjgJ2pFb0
3o+gyedVzBSa6L7unuRVRYGEmr4NLkI2vH3fohPgF7Igihv9Ocx9HI6LQJv3Vqsh3GfH44wGXlWs
GkuG9l0EUBqnKD/E2LYOGqDwGPCq2RdLOdTUm6ijAXccp3nDPhP7yqw3rTvZw0+Q/uhQghfpqIIJ
m1rdKFAqUy3vSq6tuPqhuq3HCa2NKtxlOTHdn5ERII4nYzQo0QvukZ97OiX+W7LFuew3x+WP5na9
4bDkb14PS9SWwCjoLFyOtycqwV+HJW+hOYsbLJA6m7OPI/ZvQJ0J5tTguFT5yJOt0WvJ1kbTHzNl
h7eebGH/qGSLhsiHw5LvQM7JFEezY5ioQr0/LOO6rGXQoPJpHWY3NAyNpRlp0qEqNfAQbCVHMqgD
5p8i3N1HbrXIAJNO60o/KDMD+/GUykegO8ZRSad5otuRMNQ0l23XXMZ2nx+XozTNWxr5tX2ntLiO
qkmHvhHA2xEfYwc/YzTw5Bnkm2UjbGJSRzSLO/26wwVZD/z0qvA8dNrz/A5LLiDN+XWp6Dn5vBZM
TNyU4wFb5awiUyxwWu6F5bKHGHd6jmLKEgd6apGaeeianTOvO9mdJp3kYuRd0omLEaRz67XVeHdu
YkMyH1Lsw4a8WNmpg61PJl0AzY3PnBpmVWLCL4g1Tg13sKyZi2z+lJ4grAp3oDGtl2xa2n0VmMi3
FSd2HRCB+9FNoGpXdebkMylUH/KIpr87etclu1qA2FJjksImKNm5hXNPYJGCXPL3I6c/T+XwuIJ0
n6TeYTg6Vwry7ygpiHK0Kl/lFkJ/Iw+h9vN6GrvkjmptrIem6pHHr27sDtGGKgcZX3BwwGE4ow+n
zHw3OA8ccmQp6ezuYBggvCOT/SiDjpJBSdljcNgK2JQWVheNCTSrJwhHRJyEzAJlFQIwoBUbzyzK
ZYI+1xQ8MNWieIuvXbRvZ/iYBmllnzpqPixjqIsTlBBXcPcc8MHlg1q0CFOOlncuieLaGBg4V7do
zg/qY4yWEa0lExEnEM3OCQKA3jRNywiZCeQtagMJ2JTN8MDD/cCHNTKVY/sUAgRdf9OhzjdQHI1g
WFQKMU+pnuRZDkcM/sOkDnSKNQ1cEsWQlmFPoknO/9PM/W9RBOmibAAiqD5qzypUkwr3PhrZQDns
CkkxQIKKm90mCNs1iqYfUPU8V+z8EbnmeeODkoC8N00js5zKdamtTHzsczM56Gtjrnva6aBEp0QG
PfovpKFyFn6XO/faSHAspaWWTX3Jui5rz+C21SM3VyukSqjU0jAWeunyRTLUB3IXLIsovAgCb242
8Y9OLm9RL8vgzmEWMFCTsMuomUGMANEgp5R6GFxDlw7AouhLUxbkGmeIyLWtI7lQ7mx11GZVPXzP
NbWZtEq+yCtOvqwei9nQt6vIHeVpm8onXdzd+oz13NRyl0Z4UBAC5zdamh87WUWZMVuEPoU6Gx+B
WkamoxT13LgrIP5lGfJbzWFPFR/wTBxBUjXu68447gpwp4kdHhUuOX6QJ8hmqeoy9KufdlgcQsC/
VqLxmyJV59wfLVXdmDidgwsGgHZueOaNbTdzlOjYLog1mlG+qBzt51A7+amnQ1zCbbA/QGhXWqHv
SYWBQlobFZd6Iz34eXRhm6kxzRMqghNdc6uVa3GVsfSN/QTNw9JFKjvUkGZMEvU8lClj25puEqtV
yJxlVoR/M5N4oD4Het8C0YQGGnIG8QzOFN0Erz8PEVHCBkG+s0fojP89Z58hhvQKf52WfntI62YT
dl20GF+PWsXmPBWgcBqTiOq8bY0+5aVCDcHA4VR+Isa/HrX6HobVqoXwO6e0Sh76d16q7XHEqkjT
a4IEL976g7xUZJ1vs1Jc1UmXFYGgVwyHTvv7g7aXcacsy5SsVCRg6K55FeYGpG5vxuXs+YJvJSyU
J9mFD18EaFLXqewCkZf1D+mvEtdtYYZ6juK14VxHfgGmLbHiYdwH/Uh3S6vTRl8hJjJewhzBSNRU
cICx0aTPsxDLOG9wDhUryWm9lEZ/Rk3rQhsy1N/NwbOqwzYKK+1nS8Jkn3Vu0baLUMn0WYuH78TE
Tx1/rBiifZDnmTqnGNm0UyRtsEkNKpcCVDQ4cwNFOnlWpXdGrHcnFqr6p3oj5/FUyaN4WGRur03j
FkhIjAAXMJQu007lVjGiozYOT8saBZwkT3tKVmeaIj8YVX6fIrbrVvKVhTpJ2mlLQzIz9HD5FYCj
5w6AcSeZG32ycgfsUrQoCWZVqczioXj0bf+Ccu6JouaPjdZexoqHkjAswh9WBBvIgZZ3LFl5CfnM
MA/iADE/bETm48henUqS9qiHVbqvu/hepHWRz5GZIiaKJWOudjaGd85JlcLZA54CUARN8GWdWteD
It3EKq4nWejDm6lrTwXGD4WfaYGQMUWPgD6YuATEIIXT5brUa62fmXbqX1ReK80b1PqgE8j9jR4H
A6OoZhAXIkqqulQOs9AYLwqzhmZPQefk93NMFX38D1NMVw0ZwCRho6gCvZ/LxVASlSF9cIKw7ppD
R7mEtj+RJsW03k/3XYSjZt48WVpzlDcnxoG+0OZQ16b/1sxM6Dn8fR8okGiWRenIMQ1RVEKn9/19
GD1cc1xishMkyw+G2O+nkVe46LXrdEStyJkXrSvo/SaJI3bzx55VugcKz8iMimQ6WMOJ46LayXn4
s+4zZ1GpHJV1nS9ce/xpGS4Ogi4Rmjv234uYAEwti2FqVXAyAU6psO3pVBl+Px80Z9kpKbgDPF10
24WK4uyPGjBYDjZdN4jDcOGmSEPgkaT7NCZmmUZMksn5vOu8I9WF+RBh+DNrkWtKkhCqbFucdIC5
loUXEpNo3rVHHK5oyXHT2zJBQr6UIyaa5RR0OeTw8veP+D0eWmi7wKOW0dLQsU8lF/mwiTij2jl5
4pYncosHJBsBvOUSzWIp8OdGBjlELzwyo7929A07l6p9fJofvvPD05T61irbyKtOCk/7Ybh0jRsP
6F5l7etJA9feJcgzYQtbMC2MmKI3zcLhaCwbJIYk4ygL7Bs5oGTdVtIjOTEy1cWxmpnnsjveGV7x
M+mCYlbg/3z4dOP/zX2FT8pfT1CY3b2Y2AkHm3/98we08w25L3/zeiCT4LIuARwppKykszzw10Ix
SjXQAagFYw4usze9yX1JcOEJQBgTaa4gfP19IGNNR78LgWIUMvnQn8GVwPW/m3CQyUAdm3jMQFqz
VBj63MTbQnFddmEaq2F/mteUfHMbprpbXtVq4k9DlfLjqKTZVdAqMRWjJLmsGrfcl2Sl2W9GF9tV
WIoeCsP1pNC1EzSV5Tm1qZ5tJYTParbQdmRk74v21mm6/CobiJjpc/dnDlYDU8Jca+o0bnalV+1x
KVPjqVMc2DCaPk28AsX1LvUuIIely8ZQtbnXusqsUpRr0sV4P461ZhmyO2BittIG+8ormnLR62gG
mmwhp3HQJ1PCoJ+SbNKF7uxv6agG1wX2I8c+ee4CNXvI5hGHqMIQnAaK7S56uXb2iywDAdup5qRO
8P3ocsuZxZ5G4yYda1qO6DAjjjHR85BkvUmOGqD5kSP96Ih9cOtqsB2nw2n4ZJSNPo8sT56rXnsQ
lRLydfY3RvM4y4D7yzXHFV4yySSN/J9Gq697EyACxYbvXhF9L40U5IPvITTjBZe1TpCtxRIN+hRC
s+l5+9HISS+ZyYPm0TjrU/PARMYFKCqMB2zIw0UtGd7Cdzu0O43xBw8aCU4zv8wk90SPh1ty3X0N
AT5+iXbvDtWZVKXtUWTbSM/Uo0x13j7RRof0wx1PjIxHWuf9rBg68OXaraqV38cuupPcnF3c9w+i
uD81O0BsVi76xR6iI6jpr5BCMgBQwonqPOcUAEQ9VRMdToV5lPUJBGtLAzSm+D9ybzzXdRh4heVP
pH6UkM6J8NwCrjw17SKyTzEECLVb6kXGsLIogM8xIjuEXjYCslZKb4aiZjXxLeNBqoC0NAJrIg2L
J9Kc64QGOOr4ALvgcmLhn0Y/VDnSLHyC4hbIlSsrnNiGHSwHI0KyENtDeNiI3htGO23tEvyIFyE0
kOuAGfB0CBKUA7LQWVCzoGgdjQwy4d1KGqoCKZwI70MW+FRmpmpefhGnKWIQgb7qbQc3FRRUr1Lf
hdKlo8yUpf0EwyLiPMcEh+bST9blFLig+zAA5QoApK0iw7gqaxceRVpP0XiaUsw60SuUWxAyNGn3
NjKEbHMl2aV+atW0bAlO6mmuBOiAlvplG5GNurVxJCNGPXXgf09lyTgo4yY4UIbssNBjZVVk+H54
tYMI9E2luKdS5y260eoXtESWNe7XKHQn5bIawBSCO5zZRXzrx8bCznKWOsskzxGzVpPkZ466dW8h
cx1Jlj2LhfS13yGC7Qo5bGCzMOWolFEPdk/agnZ26JhzdXCwSktb5jkhAgoU/fmggKxAEIpexzDa
k0ZIcctFjS5/lenLwXMR6haS3XmRHkLAtOaDkPOuhLB3ESrSUs8Q+86K/NyUQESP6ICjJ3QDkEk7
U0PsDdj9opVE9W7qo4cg0fzxhKC4ibJ4YYXeY4XWuOOzjM8t9MfHUCiRp45QJf//5fx8OeI3+rj+
JfEi3j3LAIFdZZ/MXv+jD70mjZsv9Gtj2LeHK2r0JIzvDuOne3pypf3dJeI1MJ3mnvNas/Y4V6mF
KQ6+4byI2uMs9V7eJg1w9gDOkZ5yXj+93j7GzTf/2Q/3VyP1fx0EzmRyf2DRq/t//fO5gy1/LBX8
JyPBdd4MhYNgkINsIYYGTy/x7tuhEEJ6sk1gILJnRv3NRPm//cD/ZKB+/Rg3DIJGMPPH0+H9IKD7
94T5hvP4+rw/DoKOSp9hv2gT7t4giG7FdoMgKKbIGQjV9ecXMer7QZD3TN7W6c/s6EyQearbDYIG
akNRYZCT7T29yLPfDwKBPFsH8pHsGTu5HATIY8tBwMaELMXB+OQXg6DuUd+3DSqLuzoIH2naf74x
UkJ1UPFgSWweBM4ISi4WmpHPm/Du7QmisLrlTMCtlDqyymzfPAjktRBsFCrGz/vPrg2CeHZbD4K1
R6EcmBbFn6cX29/7PUHdQ8SV9P15+9m1MTBkbft90QbNxnpAS/cXY6Ds0TXgP+yd4rWzu+PzjT2b
cfwVyf2b2PF9sEDpRZRqaCx8nAcyO8KTFM9zWLmzY8DJvuW+YAsXY7YFgWIULzFC76JGYgWmCifp
bu4Lotr2BYMgtMVpZr0MwqeASd2jwQWgRMyU3YwVto8alT1LtD5UETCI16fNUSfB0DU2x53dHbeP
FSCPgk2i+PhyTH4aBHmPuBkYrrarSZTonW69J1jQcBmE54kgDt6PewLxJEgtIa7Oa1e3R3X7iMEW
jlPip77UFz7tDEDhBMAbevDza1f3h+f4fpvTErA7QHaDmvdfP/XdrBBhNH5ahq3s6tIQqP4tl4YG
TUDGfeJ54m+oN1l79G+BMVrPc2/3QkjhcrnlIJBa0+ZSEE7/uDGQTgKgRMlwV4+IT9DXP08nyaQo
r/DzfxUxUVhA2stGFmxHNwMh5r3dFKDEJKC/Okiij1NA3wNcA10GbNHTa1fHYPu9gKAQ4qshdv+n
18ezQTH2UG9nppBjiNeuHpP682Ld7mxAuA5+kmI+P/RPxTZqzwjR0Tjf1SxC+YpBQOyPnRGBx9ep
//6AFLmWY6JvsqvFtk+GPX++O1rCgYBWJYq5T69PATQlFhU/H4jru7ozPG/b2ywHgyDgqfT8Eibw
U9/PBOepLktF7jlY370oQd/6iNB00DAyLQZ6c5uXA6057FEFpvP1fQ6l3RsKZfvWnLnHk6awqL8s
io8JlehS8h7F2V2dDwLntF3IQKsW/SQgyfovWrWqvKfZ2HkhsrSrO8P2DRkWPvGCBY34KST4XG5T
oUIZCsLju3pQCmDsdjNBBI+sBxRAXhb+hjPCoXHHxrCrZ8RL9WebM+KppGgZRJAfDwcM6lAUBin4
slvs6mp43qu2GQMd9X1V1QB9P58An4bC3sPniCI9K2aXI2jxDLdbE5pGMkGZyTZ/1aSkd2VoxM87
m0a8tJC3mQ/mHr0IigfWC4TlY9zEESGbtK4A8+zqoti+usI5KdwgaPZtXhTgeNCnEIHVrqYR6vbB
41MawTywXzAsH2cCEZNjoq5Ox2ang8eXXsk2i4KKomyiimm+FFQ+bpIsCh3VNfbI3W7YvuBsthkK
UXrjcSP7+Rw9fZwVKuw2CB4Igu5qHC3MVrc8KSiwAeMjPHgJIT+VncBEEj7RttjRPfIlvt9iIiD/
ShYhxHBeIshPVUh5z4DNpTvKruYSL+30LQZBIzgCsGMLKudrdPSuyiAAn1BD6ZDvai4hSHhbrgYx
CEJl6WVz/NS15qCg3kQT76XvsXv1BSFrvOUgmHtYRD9Rep9nwsctQYC7gC/AetvVvozoI2w5CMwE
EBw6RZRfDAKVR0CvMjHFrm6M22dUzHYE+zB2eYmgN8wE9JKxuN/ZQvwngt6f16ABfFoU4XnUH1Jr
1gFvWCjC7GphQXD/t1wHwHTw5tXkX2F+xY7o0LMy5V3NH7TnQ3ubsxG3Y4PTkWTyOT34WHFlJmC2
J9PC3NWzUdt+MyCTJI/UsSj8xY6Ix7RDVdpxnneLXV0UGGFtuygMFgUS2mC3nofiU+YAzJFmDWyA
XY2aX/pl2ywKMklqaZSef5VJKnv0JhVOh11F8Ohb7wwUn8H5U19FUeXpRTDwMWqm+Ip9xEtIsnsB
o779crDoN8nAdMxftSGEwpsovUJHF0tvBwdh+4MSGBNKdQBVnusm8qdYSd7jTVqYpFDitavb48tq
3WJnIJ8G20dg/EqM+HRcqsgQAWah+rqj8+GTneMfh43sDCB1TDoSv2hYk08DgydiUJ7P012dD5/U
kP94KDQa1hoKUuB1nma+mPrvNsmnGFKcFS994f9of/gPPvQX93jqB/H9EzUZ+7onUscz2/TffuCV
k/v5Am84t0/M43efvBryh+drPzNzxf//n/V9EqSzoKrL4K5WnzbBN+++bopP3/Ty9y8/8fOXv/uy
19/1+o/7mFivyzvE9Z5YwS83+qxI8r8xwiT364+MYVEGff038d3/+uf7m30TMP3+6vgNPbxe6A0d
mQr+3z/1/3rxZH2fla8XenNxZtPWF580db3pxjnOt772dB2vWx5J9XqtN/fO/rf99dGyrz49Ug4Z
zrQvuHhal+t/TLOq3vQVRHZbf8XsIf7HSVZuHH/Sqa2vP4//MctKJs/rtd6MP1nR1tdflFhibro4
wc7WF1/GD2n6ep03N/4Vy3W/SW6z+L7+fHkB6d361ldJ/lAG6/j1Un/fvfIVS3aFPc2GS3/Fij18
KDeMuSj+bz0oh0HqbdgIBCps62sfraMNe5jgT3zBpavqYdOYfMUCPcqqf/xv6j3ED5tG5iuW6PH6
ng34dRzeTMSvWKLHa1wJN1z7K5aouHaebdrdRVd868d6/JDeZ3fBpt1L9Fe/4Prl3cP964X+HnfR
x97+4hn3/nqdN9f+imV6nG0ck69YpVy6figfhg13/hUr9WSdb5joovqw9YCfPLTrz7GjgSX9F1z8
tFyzBbxe6M3j/Iolehav7x42xI6iPLf1sJzFTbIpuNO+YoVeBISOVXC/YWQE/2zrm79c35WkBGm9
4SwV8gBf8AXpPyYPmFxs+oKvWKqXa/EFZbou7zduZAIj8SW/YhY8eJt+xFesWvEjFqyAu6C62/Qd
X7F8xXccZOui2XRaif7Al4zSURNU/zi9Dap80+/4isUsfsfxun7YdP2vWM9cHx3Pybq8XW+KGQSX
4StGiu+Y4iS1YbMWtfmv+oayGV8v9veeKiha23+Bj9nVprv/kkVNDWPj0HzJYg6qCAfh5nUQ3gzM
l6zlLF5vih5Eb3D7UScwSTaN+pes33qNCGW8bqrXO30zNF+ydEWZZcM5LBSJth6aqwd/vWloRC13
+4v/1nn8qdC2ReHs6neecttfnAJRsqkuJ8qtW4/M740Htr3530gob33pXzsT/f7Sm8qyfzW1Phdr
X4UNN/3Z+1q0+MRd/LAu/+f/AQAA//8=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regionMap" uniqueId="{50FE37DB-15F3-4909-BFD3-81D811E1D5AF}">
          <cx:tx>
            <cx:txData>
              <cx:f>_xlchart.v5.14</cx:f>
              <cx:v>Amount</cx:v>
            </cx:txData>
          </cx:tx>
          <cx:spPr>
            <a:solidFill>
              <a:srgbClr val="FFC000"/>
            </a:solidFill>
          </cx:spPr>
          <cx:dataId val="0"/>
          <cx:layoutPr>
            <cx:geography cultureLanguage="en-US" cultureRegion="IN" attribution="Powered by Bing">
              <cx:geoCache provider="{E9337A44-BEBE-4D9F-B70C-5C5E7DAFC167}">
                <cx:binary>7H1pb9vI0u5fCfL50tMbm82DMweYJrVZ3u0kdr4QiuOQza25b7/+lmwnJ6LkeWVghItXuJoBApuq
dpEPu5anqrv//dj96zF+WhUfuiROy389dn9+DKoq+9cff5SPwVOyKk8S9VjoUv+oTh518of+8UM9
Pv3xvVi1KvX/IAizPx6DVVE9dR//828YzX/SZ/pxVSmdXtdPRX/zVNZxVf7NtZ2XPqy+Jyp1VVkV
6rHCf350VrH6oYtUrT5uXiN/fnzQsf7g6Dqt+o8fntJKVf1dnz39+XFjEPLxwx/jv7Wl14cYVK/q
7yBMxQm3LGYzZH78EOvUf/29gQk+gQsWxhz//HsXqwRE9lXkWY3V9+/FU1nC3Tz/O5LeUB1u/6//
4bYf17e/ftw+PPk/P35KVfX0/cNttaqeyo8fVKmfn0/RO3p9b59unx/GH5uA/effo1/A4xn95jdM
x8/yf7q0Cdv/AOltXVVPxQFAtU8wJYQAhvbzR2xjy4mJGbP5Jrb7a7Qb3ZH8HviOJI4N4dVjAZMm
rQ4zdU2L25QJ9IKytY0yTGz4jzK0/ozm8e27dHsD7+0x9sF8W+rIcHef4g8XGhzGPz+5Gdhlk1kW
weIN2NkJQYxanIAzeHEUL4b7XUrtxnt7iD3g3hY6MrT/imGOf1/981hT60QgJojg9A2syQmxCAOs
N6F+h0a7gR4PsAfMY5EjA9nREHqsMS6rQyAtTtB6QlNqvSC95bIJ+HQmTAvDld9n9Xv12o33zlH2
AH2n3JEhf7tKP5xDiHkIH26dMAHG3Kbm2xOcCAxefMt7v0Op3Zhv39cegG8LHSHaZ7UqP1x+U2V2
CMzNEyIIxzYEbj/jss3MC51wDuEaJvbmVF8/+3eq9jbyuwbaE/9dokf2FiyfivQA/tw8oRZE4yYD
fNcfmNQb0GP72Q1A9gbB/O9Wfl99duO9Ib0HyBvfPzJk/4ozlR4gLl8zKWDGOTbZbg8O2FrwMU2L
bWK7v0a70R3J74HvSOLIEAYWbdU8FavyABNYnGCbA7FiWS8TGOLujQlMwHZDPk4oGzEr71JqN87b
Q+wB9bbQkaEt1yTaAZC2T0wMMIKt3j2dgR81wY6Dlx5FZnsrtBvlTfE9EN4UODJ0z1eFynR5iIzr
OfQmlinIy1Te4YttzixBrFd+bdNqv0ez3UhvjbAH2FsyR4b3X8nquz4EJS5OKNAkiAhwvmOLDWQa
sSmyn9+D0WzeX6HdII/k94B4JHFkADs6rg8ynW1gPcHvQvz1hmcmJwgJym0Gla7fQ+v9NdqN8Eh+
D4RHEkeG8PlT8QhVOecfL1VaJxRxmwv+SnxvUWQIyBRsW9jaWe/YX6/dOI/k98B5JHFkOE/iD64u
wFwfAGpxYhGbm+SV9raBCNky2raNgQ99SaRHRvtdqu1Ge3uIPQDfFjoyzKdQzE8PATg/sSjmpolf
K9ZjwNfJszDhPzyy3vtrtBvnkfweII8kjgzhWfyUHoL5gnSKIBPbBPLizakMhQ1bYIuaoxrW3prs
BnZTfA9cNwWODNZbnerkEFmUOGHU5rYFWdLzh27Da2GTMyhzbIZd+2u0G9+R/B4AjySODOF5nXzT
8ffqn/fGDIHt5dAttD132Qm0h1EEFeoXkmQT4veotBvkrRH2gHlL5siA/gzJS/1cia7/4V5AaBwR
kCKht2rQ4IQhT8aIo1EN+h0q7cZ5PMAeMI9Fjgzlda3vVK/yWh3CG1sntgldRIS9cl9bVhsD0gT6
A+2XbHoUX79Tud2Y7xpkD9x3iR0Z9uf6u348gB3HJ8xGtmlj/mKtt0IxdALvBBDeGN6H3ymSvRXa
jfSm+B4YbwocGbpL6Ck/RGmKn0DVGJrB2GsryY4UisM1qFeMa8v7KrQb3c372QPdTYEjQ3eRZE+F
WsX//PSl5MSyiTAZeOCdoTY2T0xIoU0MPPf6MzLa79FsN9JbI+wB9pbMseGd9ofhQwQikDHD0oyf
kfVG1ozXhWibcyFGodhiT33eQPh36X3Q/f37R4bsbbA6SKsnpFPQAsKpoG/1EJATKjAS0CS26Yb3
12g3uiP5PfAdSRwZwher7DCUCAE+hIGjfTbDaCu4hqZtsV5xJUaM17767EZ3Q3oPbDe+f2TInq2i
w/SEwMIKDP0A9AXZre4fcmJjE3NhjWbuvvrsRnZDeg9kN75/ZMje1VBATg7SwAdJsSA2g6z3BV2I
nzZ8LvR2UUEwFmSUHr1Hp90Ib42wB8pbMkeG9MVTszrIohpgsTixgOd67RTYss8YmnChTWBrdeT+
Gu1GeSS/B8YjiSND+GxVlk8HoLcgwmLQhivsV3Zr2wNDlyZcZoKPUuH9NdqN8Eh+D4RHEseGsC4/
/JX6T/HTIRgPdoJMQqj4yXiMG0IgSSKMQt8XuOz1Z5QQn71PuTcQ3zHIPrDvEDsy7IGoXa+UK+rh
AFwIP7Ethhn6SWWOoSfQ7UUELLDZWuH+Lq12Y77jzvaAfIfUkSF+vvoObfeHQZsTaBCwXj32jsgM
cVgdyfBoxdT+Gu1GeiS/B8ojiaNDuDhUPcpiUJFCrw1fO6azSTG4a3tEd637ofeKIN7C93fxveD9
XeDI0H2xUHJVfFsdZBqzE6g3rkF8u8mL24IyDF26z58R/fVsut+h3m7Md9/lHtjvFjyyd+AqXj0e
ZE8acSJsQB7C7pfselfWZa1rG+QX4/17CXJ/vXajPpLfA+6RxJHhfP6UQpFZHaSZE7YfWpctLOuV
AN1y1xR69S1OqT1Kv96l1G6ct4fYA+ptoSND+1bHq4NADRkW7CMlLOuVEd2CGuJwZgsTjddD7q/R
bpxH8nuAPJI4NoTVU3EQpw2NuxwB7yleFlXs4lLgIrh1AHlHkn27t15v4Lwpvw/OmxJHhvM5NPIe
IMNaz2MTujxf+zjXhnmD+163/kE+bUPtYzMo21ef3ehuSO+B7cb3jwzZuzpeFYeoWkFjEEUYuNA3
6hrPbZ3QSIDNrbrGvhrtRnd0R3vgO5I4MoRvFGxLUKrvhwCZQvEKmZS+biyyvbMIrJ6DTQug+Ws0
gd+l1G6ct4fYA+ptoSNDG2wV7O751B/AWnPYtBW2baXorUUX+ITDmgtOx/vCvUen3VhvjbAH1Fsy
R4b0rSoj1ev6n0d6vdkjxdAo8nMDwHFTJ/DcHDadMYH+3PTL79FpN9JbI+yB9JbMkSF9WaygmvXP
40wp9HZCHiX4G7uNYNgJ0oQtCvi4iLW/RrtRHsnvgfFI4sgQfq3SQOBziEIGOGEoR0L70FtL2PHJ
OhCD3oPRMtd3qrUb612D7AH4LrEjQ/0KeooOsl+UfWJTbsFC9lfKe5xXQU8RtCHAmgw6Anx/jXZj
PZLfA+aRxJEhfAd1G9gy/5833evVkbDwAopXr0WLLYihKRCaPaGoMeo/eIdKuzEeD7AHyGORI0MZ
TNUH+QRAH4Ij4eCCge2EQvSvCsUGRwI7gjFEEKyUHXV/vk+r3VjvGGMPuHdIHSXiRboqvh+mmAFL
nGFNLBbAoTx/xnUriMygaRRBbWsUgD+/iu9R7O+A3xpnb/C3JI/wBXDVk3+IGQ8rrjAYdlh1NaZD
LVj4Dos0xE9bsI393jq9DfvmEHsivil0hGBPIQd7VOWj/vnM/4ljcCzY4gAhC4LvN2w7WfcuQCZO
d0zzXxrtE128Dff2MHtCvi34vwD2v1dx487Xx+j89Tdov/fMI7DYsHMnhzaUF5M+LloCIc4x7GiC
oZ/s+fPzb7+cowFbqv46pemlRWHHG/hyUNTW8Ue/y27c48st/v1D+d93wFG1SlUZr+pDdP9a0MON
YNsg/tZiHGjjR+v+X2vUMwbnRb1Dqzfm6/YYO+Dc+BWc4bXjLx8Z4ndPweoQ+wxBlgXLmjn0e7/R
OwZEKOzWC6H3utAFn3Gutbdeu/Ee3dcGsLsPLhtJHBnOD/W3Q/Bj684hDCvYoc78/NlaYAebLsPi
OgGljU2bvK8+u9HdkN4D243v/79A9u0D634d9ueuqtXk+ZjA386s+/urzw8HzjYcib5uBbLDyf1a
v7r4/udHaPai0AICPNavEwjXA21sJOL8dojOTwA3ZZ9g0fWfH5+PHzTXnaDUxhiOQxAwn9un10sQ
i8FbArt8wgJ4CzYf+/ghhbO2gufTDDGCk+9sWBZiwfKuteUvdf18CSI8LEyI5fmairGgU/zn7V7p
uPd1+uvZvP78Ia2TK63SqvzzI0Fwq9nL99b6msi0bOt5s1EBW5LCPtGgX/a4ullvpQGP4v/YiTXY
aWM2l3GjSOA5Ra7RadxhdpoOOgydkCef+tAn0uqMM5ES6oZm0sg25G6QGkjiKrzr/GoZie62Qd1Z
7+FQZgG3Zd2KQQ5qOLVV9blN+gsroQtTcUljT8tclJdZ153yrOZOl+QLNcStTMpStp5vS8+yu1lB
6Q8q/MppyzyVSEW9kylKJkVk5HIQbFqHoXBYjGppl8FDz71AljHrJ3bVJy4qsjvG61qy2iCOGfkO
zQbk9G0lmZ83TpF6X2IbuxXhvVOUpWuq9huvIxl6eeLC7hSPeWgpp+HqnuddKaGUuaCdcOpcWdLQ
5J77bCasbHC8lk4DURiSlsmc8MZ0Gy3mZZckbs+aQqqm+9Zr71tSdZdIB7k0o+pBIVs5CYtmUdQt
ROCnU9y1hVs0hpbCz777iJluh9P7TJuhpEFDXa+unrhHhosy6lcqM71lbSrLKUySyMDnEyMV+IaU
VuEy7QWOguPXpC47e9a20RKbefMg7Kagsoa3cKrDxhmYpSbMs/Q07ilyYrMbJiIIkPTtQcuapOV5
j0TnRklTTIVWmevFRu9U8DbLooyCiaF0MemR8iYpKtVSIR3PhN1Wt8Rshs/t0ASuRrEnozJG5z1P
rOnQRtGDLhpyqiyL3zdlktyUBc6vAk7UQuCiO8ttj7pNH+tTwvOilgZj4ZnXppk3MXR3VhdDTOSQ
IO9bJ5Qh3NY08kVK0HWkbTwJgjb7hHp48DMP6pFfjdD2fzAR15PEJkS2VV9PIiGcPiG5LMOsls1Q
wXtTqCUuyXnVD/DU20ne+mdlmj+gsrQdI68viiBt555XdVMLNZ2sqbanlhk0knXZBatINc0T5IRW
UU1ybC89j/syihWRKR2oyxs7dQcWYVdjoVwr6dFU1zTIJkTdWjTNZljx6FzbQiyj2m8+24kQCw5r
iGVgIG9miHRwSqP40RHPmCdZ6HaiV6e/Hxy6YR4eddYXyg9eD3v99eN/7nQC/z+fJPrfX67Piv3v
T7MnvU4gyvGX1sb817f+exrp2nj+Opp0ZJJfDpz9acDec/FdxpyBl33bmL9sDrFtxtdSv5lxKH1w
WDNNTODIODCjv8w4PUGwUt6GHafgjDvoIfxlxqHqjWFRnwnlUOg6hP35YcBXMw5xIGyBA+sDBHQ/
MBA332PGoYI6NuMMdoUXsECQm0Diw4rRTTMOBzUhmsV5fIViK5Qmq0uJWfu5sbg/q3LjMgtQIctB
nUcx6WTRi3ne+9lEDLh0m0486VqdQ3XnjkVp7KQ4F25P7UyW/iC1oHOYPlNeeZOkw/O2hX8TI5Kt
kbiU4ofSrByu2kDSLpiUXb4KrPC8r+onKwwmrU0nleGHssfZed6xR0iGZn5vKzCWOnIMldTzMCvm
hW0vy9CfaGJOBxJODFoEEpvNGSf6k9U2Fy0JaqcvmJoFA1nFBZpCAH0foMacWp5XO1me9LMCx75j
myKQjJenZlc1U+Fly4oYc5uGkygIb72mypyO0nbSZN11ipkvS5FNW56geQLKLSnssu8Moh1cI8Wp
NBLr0qbxd6KCbNYTM5LKj6g0eu+uiPWPOKs7F6WtIdMyPI9Yp13lk2iSNlnsBJllOlane2n1YhIZ
/WlgVqnrt/GnyiyM0yRP3Vro66AAp5AK+xQ3hi8tszq3U3KXB/WMVN216pQxqQejl33SztAgfmCj
a6VB0usuSBMJdbmHMMQ3fZkZMve05dQxTZye07shUQ9RmrttnFCpRGRJqtQZ0AXLMEc/ynLg83Do
mEtU3U+CEkwW9ug1BCJfghD093seycHXg8MzNq+5zmSWUjZJyvpJh9HCKGO39QvJVKlkX2HuIAV/
B4G37D07lToN7r0+uekK1jlaZKkcaD3zfSuSOewJKaveNt02BLmYVraLk4jNEl1fai2+mNgD3Mta
RrjLJUqyB1yrsypUZ4Wy1cLwsXBMXimXkXQA/98TJzFoJcMqm3lUX6SBfZYr01rERplKv1QXKNQP
eZiraR5HiaxV4XYsdXgLirbNEEkcN/McoytCSicz22QeYW9Z+PWiTLNPtdHMdJmeB1pPGe9sKRJV
On7Z2BPG20LyOECuQM39kKunsiGOEXazVmW9G6Z5LFOuL1EPd9VbVzpvKyeym1sRxdMKnebDRdWc
e4aa9she+F16ic30ijTePDaHS6PmNnjDZkbiClx3XTi1DgaXDEUseRjH8IIqz+FG4Mnc5vDIYdA0
MTNHcJI4Lau5m6DmRxB1kdsl1JqQbD1Vo/JbBzFcq8UPK+zqhTby0PFq257h1FwEODfdwWNJIUlP
lRQphGOG0fkTs6Oeo62gndqGoNMiI9LvgupUe1E4TRr2vTYrCMyC6LumzX0+1I+D1YYTXcaJ9Gl7
1ddh5oSKN05f8WoC5qihjlmnpFgSP66WYHtyNxSZJVWX5+A9k2phpknIp7TOuPmpQeC8ZwEr8Kxm
fQZzKU+x7KyugNCl9js8EanBOpk3sOB6Dvvs95ksqDmoCyNN+vrWRgmublu7MOiy7mq9bM00Du6L
gZHmMqqyufYr7GRhH080i9hUKdOXORpWuPBvSo82ThV1p4yl9bQwim4mDL40rU65pmBM1jF/zLUu
ZVTxXCYhu48MLpygaUKJ0cBPqYaXOUpFJOHrSPam/pp5bBWEBXErESaSDvmPyg4ahwYaSZa2RCLU
RLKois7po+68z0q3U3Y4jTLjnKXFteHVy0Tor41qfwwGddquD2WJO4jiMjN2StqdBv3CRG0ibStb
qUjfcOW1siJmMIFiryWrqr1FJLzwSvvMCPuHOCA/BoxgFN/8ETXJ5xQp1xhOSd+FLjOLiecXN1EH
pgdBrNh1bhcv48A6R1GMXLvTq9YfFgGlhdMZHXdyNaQSXsYLbkWDy03bnyDDuIYldsRtLXNwVVef
D6hf2mbnOfAUsrmVQsBfalTNKGvAtrPMtWxlTYaih7nkGXdV5A6m/4UUpQFPMvTcwIhCV0R2C38c
YkY7sud0sLEzdLFwaat8pxWdvky6rJ1Yuj3LREWkEI0vfWxdqjY9r2MrcbrMu7RTJcuknPt1teJ2
209IE932sZFPhsSPJ54NDsQM609eXZdu3aZf4MT709CIQMd6uK9zO5jCrGPwDkAQbSJiOIWGg99t
+xMY6CnK4rMoCSpJfDqnof6UN2pmKKtzGh8t8pZeNSK7sU39TYGjk7AlwAVD1ZKZMO+alHkzb8CF
Y6Ji4RsNuISq9SUx7VAGUbSwzV7Ixk+dUJB8VkJG4yhWXkaqvoJIZJqS6nOT4HkW5YHDagIvYM26
SYSSZgLHuuauHXnWzPDhqtWE2uVRM0sNA884CcSiggfqlEF8ibIylMKqTus0LWTO7VOr7D7FqUaT
XoMTBJM1NdTgz4wWL+PU5pB0Wb4sYKYtfUyuOIaA2yizXFYpShYDialsPA/LnuYehNB0wZi6Curw
s4G0P4W0JpVg5MDAme18SCCKhz2prkjRDK7ANHG57h5T7X+hZn5ZptbjwOhjx9E0K/m9jvx77Wfc
rahaeEl2jyA1o6y4bQVZ0tBwKOkjB8XBkhTtyk/iWW2RJzsaTv1aXQ/YyqVdoduUrY24YU7B1gfO
/w+7nzkU8rccys9u2u3Aey33K/CGQBnDArv1gmoEzCjsvv4r8MawecJ69znOoXEUCJZfgTeFbRUg
WodTCikcIA6j/SRPTCiPPS/+YBbwJxz+0M/cYyM7Au7o9effyRNrva4g2yBPYBdpiOHXRXXYwgE6
4jaj7iSLme5hufdFQodmmiGPQbprPVgC4lir/kIq/ikarr21887xhOQCQiv/kxcPkdNTi4Jdi9w8
7c/5Wegbj7SNPiUG5L6YFuGsL9JvvKoq2bf+IkvCOfLT1slqPTVx4YFLCbkDlb6vBkSa33AFNot6
cTsJmfKmQxDOW1XwORjq07QNlAxp8CUx9Vna2w+DUck4E4XTqnzVh9G1HdBVwfF910AQxavuvILJ
7/RBpN0sD5d13fvSTHTzBciAr6rK1DLNsDfBrcldlIWfojr+inprWLDEX3iloadcDPMhJ18hvb+w
0wJiUevWLmbRgCa5rQtphu2nOlAPkL/PW6S/lIXhn1okc+2SOUnaXOAQ8uO4v+h6dcHqwcn7IpKe
Cr7rrLr0qzQHs9Ne2KqlUiuyYHoa5pUMeu0Qcuvn54U1zaroIScQWIOKs3WoKyvcuDGLSwnBd+BE
IRGfPOZJbZblvOF2uiZyZqFnnPFEt3NdWY3jqXrS6vAGTMkZR3qA2C8wnCaO5zlsYl8YQQv8UZnJ
oECzgg+BYzb1VS/sOQoRl8hr0lmQ0qdKKXYap/D3YvDIJmRVtlV8Q0Ov3BLxs0AMri7DVcc9CCxr
66yt1GWc2RdJxlwemkzqPjxr/WCQzHLBZSayYh13Y2Q2Mg36XPqD7iCUbbCMI5bL2CpLR6kqcZSV
wcumbFNWyXBlV9bKzAxwHaqa1iVxPARpBSH9dWvx0rGwcnhOH3sS5g7Lw5sUJ6EbAHJGRj+ZupV5
EhcTWBMrznIDL2Khz7Ow+9ok3eegLL9luWhd3PaeO3CupQ7rEFI2nLhRWC2avtJuk0dfIPLOgL6z
bEcFybVXMupETTeHuExPC59CktDzVkZ6QYkCAtISPwCPpc6yS1YE04ijmYlj5CRBIrNGENnH9DYc
0q8xVssKt+d6II0cqvTUK6szlOgFSepBxihbiEZ8C0t/YQf+jDMCAbQo79pS3Wa18UlpvkCpPq0L
9qQ5X0TIvzRQ+jUt4088yuGhDu0Zo8WS1vq8bqJKZlF3HSfNrPMgp4I4Ox3aeWbrBS7Y1OzZPPeD
U58hCEB7uszidtmW6AoFLJ7WQ+F6fnXfWkAglWyYqqK6zGqIkfvBOi1scmOqbBmpZs6ivoY7TOpF
2JBLhopzP7Mu06x5LFVvAVNIbktdfvHTfOl14XkdMDfw+5sUxUhGMOmjOACfpb74kTUzfQ0prhKL
3kxnvGmBIrSqc5oCEQk0xTUL/QXj5DoxGk/6KHeCulg0NrpHXRs7AsWxa5P6pg1M4OAgcBosK5Dp
kNzXFZ1bdeNkfeWSbjCcWqTnNOZfBwHco9FOKrudxqp5SIt6Xprox1D6tVSKTIbSu1fQrgD08gDx
+Q2B1kcnFm1MgG40wfZBon5qsGSYFDxe2n59xuxo0VV1JQ1IYoMguGRNvPT8vpWh9s9bSFkmyk6/
NaoS0ijiCwPZs1zbF0UahY5ou2mSIzxRJv6scH0GPPcXGhkX2AtvhzWEVJjfMtzBbPQnlLRL7Btf
OtRcUowvUNS5Abf0pOjbFTH44KjMVzBPMjevAIsCm9O09tUsF8nXjNLz3k4qWaliHulwFqVZ65Yc
f4Zdj0/zspFBELpmaVw3imOHsDvLrydKDd/C2LodzMo/S808WyDfu8mS9NxIkSe9PJ6wwfyKMz6z
iCcZbc15WHE2aYuOzKOOwVz2n6K+CqUF4diyt/ozDC0CU4wzcwrJ+czKzQJ4ySBzSCcgbfXRvEzq
+7JVt3k6nPW1f+cV5Tw1Bl92rfictmoG93zn9/GXKg+aRceuoihyQ9Q4JOSQwyfdzGT6sq38O4WG
0hW8mRvxMKsGsShKfj3EeF74NjwafGnkRSqDpr9uanIbxVpA2An0hCjaSDa4vc4oPy9j8PeTuDRI
PKnbXH02E1WB8efWkqSekomIm2mQc5nkA2SJooHZOUCqb/WSF3BLfZ/Ni66fWX5qX4nEFDKpmnQy
GCqXpMmV9Bvgbxs4hqSBaJ7xNIRwfTBlAN1zbkZiSFp8x9TV3AsMBakNZN26sZvTMO4SmRv9j7Qo
FybMYhn1aeTQsMCSq05MzDj+0mifuKjnhWsFAij9oLQMyAN54hSJf9biKrtMc1zdh9iCGNgcCmNa
i9a8Ltt0OI3FkFHZxkwo2SQMT7J2iN0BG2ctLU6bTF0REU1ZF04sMnxOcu/Gz4tlnRPgjGjqkFjU
E8if773WDB3LbycFhnpKE3WQKnvRhFbVtyasHRyJB+bR86btwckoN6mbaeWZUtHyLkOod4UVrMCy
fka0mHttcInM7skL6TIZ4DHZgZrAi6SBjab32WAuLZWceyqmDrcSN4yjqZElp00NLrroa+HywrsM
kenGkHdWsP5IWsmwyHx+ZnZqjotB+lG2SOxWmhpFrrKgTsNDem23yW0FZFqj+95N0vQujdsUGJ5o
iVS7QMg4txl2IBSakS5fVJ49M6Jg4Vv50s+qL5xRSDzwaUHB01IxjUT26IXDJIz8686DSKE3s8ng
BRNY5uiYefWUAFtkpKlTwkvXdfWytuNHaNgAbtBOFxqpmwI4SahQODYLe0kTPg86dFuuC1EVZEhO
30H2YvmQoLZTr/Fd2wuRrO1yWoV4ntTkvhHMiUPcTU1DO9SCKooH76NK4xyse3Qf09rxMVANbUEm
dlRDgcGPF0YWfrZtb0bFcIUaEkBKie/6Fk9pmH3RmCOXJkRJo1HfvUI3The29aQK6EVrogvPp187
VPGJCrN1kWcWAm1mQ9lp6vvesomGp6w3L6oMwx23cQVEK7wsvm5NyJStFmKpDE+8notLjfVpyuqJ
jgUU/Sp0HTPjLK66wTF8Oi2hKiE9M8BQEULJPOj5g9mG/a0NlsaN4u6s60TtGq3+0pnDdWbwB0JC
b5qp/B6420YiXk+jsgHWuYS7Fh6e22vTkwtfNtoO5n4Rh46ZReeZl0wj3wBGDLiiDPu5S3jZuXmR
/GhwV0KICGwqg5/6qHdxk9/6qstm8ZAsWosA/1zVZ0Ox9tomu+8wTLQQCd8tOjuWec8ucKQuojZy
WMiChRUM5VnmFRxYKPoFiCn/tC28a7uMH5ACKnQ93TltAmmn4M2joqEPIqhu04xd47ZTZzZNITXN
Fn6G7ogPEY02kVQtcJ9IuyiJznIfQaLJCumbyQ+ggGOw5WTiU3EXVfpUVeEyajjEmW03KUl13+P8
xu6AE0kz6yLE/kVihdPYYv0y7cLPeWw/sI7ewJ77emnSMJ3UPtdTUrGHIbEXdokNJ0QqnaUNDGzk
eKqxqtwsZc0cGEQigeAE7+izBNHbDocE0oiiMP4ve1+2JCeurvsq5wW0gkkMlwcSMrOGzKzB5eGG
KE8IgRAgARJPvz/s1d3lai87el+es/qiozvsKjEI6f+/SUEetzbweNb4Ick9ty5X/r31BRH08xYK
rdiLBireTGIgnaFQwx4Pg4nzqoHyascxntfVZ973adfdqtWkSfDwgs35SZ8GbuYng2xydtDwkGRs
XdwLirspzegTpWoAsEfS3ToE4EPwqJfHXw+DTvTvw0Q4mmI7aztCkMSPw5TwraMLcFC4e18X+Yb4
39m5//isfvL7tzRuSMEcNJsQBfz4+1ViQylD0Z67BRPtEJfP//j6ozjYHD54UBCIbhTTi8dURV25
AkER5xh9B73Q5ObXvx882C+fz6vrD8LGZQRL6TkQeyKyxi3GaBfUqfnS8t0/HgoiiRB0XACZDd2y
E1/eShtXzrqssjk7/ADAXDtpD/Q5yLANkz799VjbZf+FAXybwj+8lm2Kv3hsjlsLsGxte+79LIGI
AH2X3mFNtXPx64F+8vx+GOjVTXURT+QUfx/Ir3cdSw0rsI9sW3H/m7n2k+8SPk5oUGLsjpsQ5ceb
8mnnSWy83Vn5Rdk+zyan5adf387PpvOLIV5Pt1VR1ErU6c5d/MzL9wH5X0xnWFEDnDyBBHv6Dbt5
8V740IKIAEd25lgB/Sht7f9i8Yqh0kP+k4/PJvReca4d6VDfh648r9HzEp2mrk8d/Zu162cvHZM4
ojguhYKXey3PYaLvbLyK84jCz2bxAE70DpIS2e9W/zcz+SdjxQ5uA9kKYJKBP/340lkZA2TjtDuz
rafOa5kxmwP/lKix7r+9/H/LuS7fv4/vQqSXioCXAoH/N5UGHl7Qf1Ya/JnP9RPMEz/4J+bp/Qv5
7D60BAH67Xh76X9insgKRoCNm0Bb6AQ4n+FPzBOKAsiEHXi6/O3A4cDH6/0D9sQxxNuCDh2Z+88g
Txq+miSbMA4CAyRlxSBqsEa8miRRq6tYeBU5u6TNJl27mROsX9AlQO1C2xC6GAcAJS9Gu2HpKJbG
+2QUYHuimfjoU2QX3VcV1C1p4lp/Nyl3fFvGaN4+URLrNGSl2PCoYA88T6bKi9d9pRb8V5AEe3gf
xtSMS7w3ujYg8ElSjK73DuWL86kaWpENnukLySLw0hOw07maAftJ/F0/GkDPNd74oe+5C/IFtNDK
Znq1dNEV51BFocdCWydQDU1kP3nTR2FAkMwDdAgt6PgUTGUeE3sLDV6SiojmLAnmU9w5aypGKBcS
2K/2o7UstR2qy7ExGtqJKvVt0uTAadbUK0d0Hf6yA6uvLlx1ftpZ3b6fY2ofXPctqBowT6Q51UCO
drBp3nHAWKnvuZBhccjClvoMShnIzwKEFaBsoFudxjMFpRUbdNzRUl91EaEp9WtzbKxyckUHH+xh
OS5pbByJZwbEDK+FnIOhtimF1o5r6WcaAOUQKJo2szR3a8yjfaeC5s7Mzln2jB2SBm1xSRz8ULOu
dUHIrivRynQtFHN8kYexZG26elGXoIMK4p2KI3QGnDF06QnEWw8Uw+5nznsnx8Tujt04z3uhZH1V
hiS+rYNFmVQn5W0T4oe7W3eYyjt3YuAjKdrzLnyuRkHTRbVejuC+942rq7zU/VcnESKDyOSmLYEJ
xhxtrdNsq5f4yla6G/xKn63A8imiIMqCMW6ypGsq9E3hcZyH6MqjvZvNaFoYt3hNQuwDhn8lY5y5
hk5xGtjFS9J66hdcgPYmwBDjvHjB7Qw09QpYfuZKv/UvlKoGT9uxlaNSQ/3MU0216znaq3FInN2E
iXae5RIW40CH6zCQckek3MsRPC+P12nvs/ZDO0c77Rg3s8SoqwWsfdrOlVvQoIxPDdogIpLPHlE3
IRd3cgITSfxb1UfelHqkP1lS26MXjhzd3HogdGmBgND20eFlmcfxF03Mdd1G13UQ3Vgmkxw6nf1g
bB4C38Y9n2Pb3VAhPqwzuaZufSNYXGX1RMvbLgb7LMLeB8NfPTBrquPA2uPI50Mz4CXFLLrql5qn
hEdl6jXxczUt+ALD+mxmOaemS8aU6FlkcTJkbtgeE03zGIlwYozTRTYuZCJfQ8guJy2KcQWK3wyZ
MytZVJ4DFH7ZsZ4fozm4ThaTAU+xKdOUpYtp38Stc/aC6U04OzEmaSLDc4n+46qM16/94N7TdTpG
QCR8IXKwHH7mMHNNSZPxeX5mob8PxzlXVdWnHPSiarr7WHqfkwbfsGiB4Sf2PgCfvRNDf2uHtSBN
AJ2Inwk+AQV0dVqJOZtX4L1tKT6t1j4u23x0G34cJ3YBQn8WIP4jwKylkYdIgKyoMHxLnTvRmZMd
bOat9tiV6JcBZLGV7NepOQAwzKD4O6DbLQh1DFai+lMYT1lL+gOZkqxhUW57CVTYiSHElHtXo+Hl
U3XxdLur5+pgnHgnJLmZZ1vYtsZxndjiG4OeWXzF4ZpZObo7HCeSlbr9MrZfZDndGx1hRjoHCx4D
9Pg7OkQ7BSUj0j8g1x6zoPTOOJzgQemwCCB5pZW5D0zy2PLV2yUtWBa5OHsRjFlSosUWJUlp5BRx
ggZ9qE9Y4Qo7gAxhgIhi6GkqxY6+aw9mHd85rr5aafwQhv27mKn7CojhJD53tv8yOA7LoE8G4lUX
ddgXqrS7pgpy5tis8tkddGO3cvbvvVJAJwWafXRSZ4lSIFsHksyHWIGDZ+0DBxumqftmxJVGZQJ9
LyChkszXypkKfIonlcSF66srvwQkbYa8AtyfmU7t5FB2KU4Z/rRM8h1+VVAYkHZWBX2GL2kA8rdk
tlueVaeyLibXrZbHlUS5tMDLZxRyjGCTYH05ZAmzTTqFEXRe81sxdR/0UKa2j46gNvOeBZDa6PHQ
xfToGCHTlUKew+d3y+i8lSO/l6Dmy8AUdTnh2SV51elDpClmZ7QHtnLXyfa6X7tsJtNDW0eH2JTn
0l+PXQCErnQhZqrjtJvqQrT20pfOER9Y2i/xHR+TG9817/uw3dnRmTIvAXc1hndqVOdO0fvJVE4a
u+pholA797JLx3VKO9retLQCkDk4wDGr23FbqFb5zjYa/Drd9z3Dl71k3F8ytWxFT3dd9t2bsbdX
rieviRewMykh7a1s3T4oBd3Y6ukr9NXpuizZrAEvEv4Zauc3XIvo6IEpA5em3wcUmzroVLAAeVO7
n0MBRZ4e3jUjOyJN7Iz1Frjl2OzdRV1DDoTvso2abHXc94yqvkj85lGMGliQgSTbdy+8iSEYhAay
k5B3e3F0KJswWzwCgmGV2azGDWKtMtd6gLl4Tll3MVUI/tBcmc5+7kmfE3B6eqRpj/0PX4BqUz5H
+TRV+chIlxFUCI2eMtFikzBJd5hJ/HmGoFHV0EjOUQElXd7JHuuP4gY6q7Uworu2uroeNX2UtN50
QT2QM6CQNcSUbCFXnRdgrrf4TlcwEhLyN327kuW9GvtPUzzmFYeguWzN7RygNRYOtr8XJe2/S/uX
tPir3vFbhei7XogQZLgTcPDuj22EXsZxxGnA5Aw0sOZNKpt7wprf9Cqvuu5/DxJuLSpafH87Ye5l
110T4YTol8jZxB/HZb9M7438Wvk7AUzu17fzs4LXx+ngf4z0CraQJRj+tcRIXnxigU37yM3X9SjD
Jz59qGWY/Xq4nz49fE3bocbbEU2vbsyL0eOXrawuM/mgp+uh+tS1n349xM/uCNUyimUM48NA+uOz
A5FinMT27DIHGV/2k7V5C4mAqPb1ylNPn3493E/uCI0rmha4VQIPdvMfh5u7UHnW0fUFnhNwDAOQ
7X3f/OaeXqEJ23z4YZDtz190+6okmoYlBgFwmerxhifsN5jS725j+/MXI8x61fMIn9Jl7G/Dpc8a
+VhG9W8G2XCVF2DS327j1avpG9v0s1D1xRA/ZTRL6gu0tVjg3lMw8+rsQXH2z98OMAwHyS9hAg+q
9+NtNTV0rB1360s03A1OlfXtMSq//vMxAO6GcLthHsC99OMYJfUhgpxHfukUy0W4AzWZQQL960F+
9uigBUq2c2Uh0U5eDSIXFkV1bTjez/sOkgp0inwD6MsHPl0H8wBf0d2vR9zm1OuX9XLEVy+LJShm
e9fyi2NIOqu3PgqoX4/gbhf91xCbnwA+I3jEtuPcQnyvrxYfJQPWMOOKC78Zj/qIzfNWZjSnd+ye
Zl1eF3FGil+P+eOQW/gxnuCL5/hqSDY7wuh+5pc5VGiT69SDttCTh1+P8vNnF+CRYOfcTvv9cUqE
qxtGWjj8Ug5J5rnXcax/8+y2p//Xo/t+H9vZlfGWcgMh2KuJ3Suvdq0i/BKh9bWxh2rzQw2xf8X5
b+7lZ0/s5UivFjh0xHKEMYNfXPqFxXe0fBjW3yxvPx8CgrWNvgBN8mqq1W4D/nCtmkvXnSloMlN7
qTeFv9nqfvYJYbL9OcqrVw8ai2lbYZS6+dSSQ+mTfFOyNFPW6Atp9i39zTv62215ToAwV9AZ2IqA
1b4qFbykjHoRyfai5/0wfljCfFjv/+FEezUEsLSXy3Y3V3igDMaYBSJkl1Q7y+lvHtvf5vK3Ib6d
g4uC52/ECTdGkBad1kW1n8h6hNrmNwP8bSpjADAzFN8JgDePbhv6i60HS2e0uBDaXFDniYlmjB/B
6aZd8uXbs/ovKrtxZf8Zlc3b/7OT4/PnP4NYXjh58YN/oLJI04BlO0FUA87be+XkhdELsSqgMD3o
5d3tLOs/nLwJzGGAS0FyIlPrNSoL8XeABcoF7A5nUfhPxKiYDj8seHDyIsYHHCM2DR97Bn7vj7Nk
qEpDiTursxPIp6WzbjH7w45AWAvIQY0XspbVoROhfEeDXsMlBemBjgg0ZGI1UHPM3dVaQWzWrBBs
Qsr6tlFNtBt5DNct1tliDdB8iXqtUwo4MdPBJPOhTOZsUGq54Xx9mHQHd6+JGVy90ZtEdceKsa4I
N6tKROUVFu3qMPrREeDt23IJ0Q3z/mGUDModUicH10G1G8yPxneuiZhOEgANqkUIw52Ru4WlLvxH
C7QH0CTZwV0zucLIZNv3pfaudNira7ZMDw5kPUU1hNgsl9BJQ0M/hnAMH7Q2UOIZaotEmi+hDL/A
R8d3iiXTTg3zbWL8d6C9uivo8GSKNI5nb2Z3TC7yiMv8lHTi3EA7FftzhE4LXOyT4bbKocHdwygk
97QPn1vIVivZ3gloh9Ctiy9h6+YGkhZXtv0+IOwzdqP7JWyqA+y/UCbNFO3qsq47XpMwn4g5Az2A
harynuoyvp390ktRVEu4FGIJ9h9gGu+wEs/L0Q/1B+EC3Bt8rfYT/NTrGizXsWOf4pYv8cUoeFh7
6DRE2sYBOnpG+q/rxGgKRTLPFZ+CTJqoToO1NXtRoycearBl/WABozTeG7dGW9DbwTl4cNRh+/Hf
rw6QFBhJkulxCtvqpHXXX62OGJMcDoxDT2W+cOfelZKmfhfztKst3DBO/VQvtE9LBjDVJ5rv/Apg
SB/2ZgepFdR8RF4q4JNpqKq9FzqPEYGPfOHj52kyB6cNr4KpwyOGr7vk5m1P68+RL25KggZzswxB
N6NFGpHpORDKZjzw30M/9gGyVZq6VbS3SSBhS+cHz6kehkjCQzMBwfOgNh3WuICQa2d4tAOYfROW
0a07EZierH0Qa/fV2XRq8xSHgIgsVI5NRdOZ8E9uSN4haK+wzNy3TN/YmTxSwj7otv3CxiZJh4lc
D2Y8OX75xnT82i4Cb6v0nioBuRYby8fSRNea4wn1XhUUfh8tWQP6HT38+zJa3iBFF8LVCgIYQwCc
RrXzETzI/TLyU9WPhVcmFXwY83lxg3vf4l5EWd+Nyj2GcZjBq3pV9QvgpeW6JxSIin6KgyqrOnqa
A3pm9XrwR2hoHQiRGmXfAeiO9xCii7SpEy/DMten1UBgprHSpKWZYYavx3ejEld+Mt82vndkzvo0
dQyeE+jWs8Ffjv2ITgUTFpQ7ae9V7X/sfZEcoqYd0zWMAXRxP2+hzgRyL1WOyAFRyARq8QBCJg6d
+7GL4M9UbhF7MDluKy5WKVfmTTBf5OTMqTdop5iACFYOvF2uMxwcPAKsSXe+DW/5lHyioYu5FYVv
vDC49aFjzvzJuumMnncntyVuhIEObpsHL+mgomGob3slUjXIKxyL3R4ELGluqycAujqEGs28ndbq
wXWCj5FoYd/04ttmZiWMjIQUXLX3buTDB1MBvbZe9NGDiC13uxa0Qdjn1icgiGqgMlhJCzhxvo56
RVMyQExTj+5jV89dOrlR/aln5BTKeYZZDmtEXb9d2HweIYGChvHraiR0tB18W6x3sgYYtJvVipIk
ddUq3oqKRNXt6lUQZIazzFHmXdN4fEwsMhFGEcEwv8oPcq2TvA9mP9XN+q6cE5NGs4LNgAzZOo3o
NdsTq9yzT8sPRk1f3WkC/dSNV+3q5QBZIcjU9G5q1tspIUBMnRG6ezXkMWReDgGHNk6dk9KlhNhp
nR594xzqEnESkj/xGXReAwszrmZ9l8DIpgb7JCg0nwu/YD7gIZjpjWjc00rhKtNV3aaz00ElNU+p
SSCu8u3JDdWVY/h14Jg3HRiZMqCXsFK7Pgk6aKHxVQcMAvk2NFD4BdjkQhTKNdc86xxPp1hjdyDQ
DnCXHUauV2gRFZadEKKw0AcZ5pZBGrpluw9BMqxr7BxJsxw7HrLdWEuIna32jmPd1AC4OQRxft/B
PDXW6TKDU6xMXUCYyb9Xf/+tyhyU+/+5Kvu/kJ52KGC/J5O9KMnwUy9KMuBkPvKUtnOwv/nr/yTK
QYejVMY/wIUS9E1/lWQxsozxD4hsOPNxjJ/3kijHeoJToFDJJdCPBu4/KckgmvpbSYb8lgQXiDNJ
NugLI70s3CvU7Zz7cXsm7vC+qvWSrlP70bX02LqiSzkk5Gqc8ojCSQm4d/Wrm8QOpyUWVVouCEUR
9QCncgUHYTR5BeQyhSP9h6WevTyO5ATLoL1xdLkLCazZtauf6tjrs9ZtbxgFuTKT8dA26lmEpsIa
E3wuPZiWeyKwC1BzbeL5czO5QxY3UP06vp+HdsZ+abs1dybS7kC3mp0XTzqLpmTKAnBBmZadLTpp
L54F9A8e/XoC0ZlauBl8o81OAfuWTniFTha6eAPgu5pVA3TRTynbOIIoucCY+XYuIfPkMSBsxsgC
x4rG/4a8ztYKnmIhqhK0zBHUbWEjCevfAG7cW8zTyqpbHXXXPXz9DPcEa0w9pjAFYslssKpXIm86
77Z0vcfStrqYEZmdhok/p1rN+NAbgnU58A/Ct3VWxv3bGE78LARlO0H2DX149QD2rP/gDMuT3Qoq
vSXVbCVWuxVbHH2qqeZjjSpMbOVYMFGZBotFXspWrEFFc8tQvfmDglu7Xs4EsFjeNBMs23SFQHgr
+6oxIXsip3sfFSFFHM5+2WrEqWmuZfiszXOf2CJAPamsL/cTvEXtBEPCCPpZPiUu6x5ap+2bL3W1
fl4Mu199R+fR1MsoBd8Rx8+jCzcv5vfRgcPyYLQnz95YJpDelerKJmUWJJCKw/Nz0CPcwrDx1hkL
Envy+YqCsJYIGmhp9Hbplh303ezWN/LLsM7eAYbMBMruMIYX6b/d5zcbpIvP/j+vc8fO/qTx3H7m
z1WOIiEQnSeaum9pIehJ/1jlcDJ4lED240OaBRFtAmjij8Yz+leAQxg8nK+CtS6Bm/yvVW5zQSLM
HZACMkg2vOcfrXLhhtL8hbThyA4HmqPtGnB8mu9T/xVsBMUC1NhzpE+iCVkhZQvXhBRBvN5Zb15n
LEwJK9cwD4AtMmyYc7PkFBS1iw3UA1GKdaX22+shrgd7RuMCNRxMcAsFceaacJhSQVvm792oE62L
b7et1R0jJfxQO1ImsvuwjuEUXKJpSsZuFzk91AGGUqhJMhepBuo5WvW4riiMykg5mTHjDLrXndm4
56pPbtngwDlgxjAdliV4M0iA+zGqj2GSDU2DhoudOyzzNXA+CyKw7k5R20z3btgsH52O0h79Ias+
zsFoihYa+Bsk+cgc1tDyxAkNCvQK7IDkLQHT/+LbO/hxyqOa5HLbdNECq+Osd2PZf5VLrCDq9Lzx
Oa6xTrc68KaMlRR1NuX60VsGAc1CRz/Fa5vsZ9YuNxVWzRJl3b4lAQTgqwMxv1/BqzY5iPUAQWtS
qjVBs+jY04g2umgmrrC2uBBcK4X+MQWc/hGvSR+G0kHx4vbIxEoS5n3w1369sHXlXdp4k/exgTwI
bhP452zD1TufKqgBICe8dH1S7dZYTOdpaj7hkXZHRFG4Dy54zBbKcye+DZY6Af8v2ckKkJ2VpfWJ
1krtkwSGQr4m8QnBGfSARBSeJVaMGfMr+wlJG+0N6kn1NCEXpFAJh0WD1N4thN7tCrWYagosZ2gD
zBDeuY0kRT1QdfFrv9/pyZHX4D5A6avmCjkka25jEhcDtebrErD2EPeiujKyDnBtPCK3dQlvFnI9
WplJi2gNrafwZrBxt++ryd0HaNSh6hm1gc4pKa/akYRPqITfAqjwbjwS92dcfglhiAhulfSCQo+j
c7YrM6DEF36s6g7VPdrf20D19p6NsEvOahlyW08mr+a1LBTQlGr3/+PK+rIURP4dCrr/vKi+jKf9
q4D8/lN/LqtIRPehrd0kr8hooviFfyyrHk54RuweGCvI+CEiBmj872U1wDmgkMeCi/leVm5Q3x8q
S+9fOLcs3njVGK70Tbb5D8zl7gZMv1xVoVoHqoZGHQFR0BdvB6m8rB316st+APhx6hY/yWdIifpU
+hyahQZxSHchofaKm7lrcsdBnJyWwfwGX6hBqFnSDW9fPL3L92Ffcvrutoa/uhrEFHqQncB9AFb6
FYweQHrTJGyaTx7iVk4VMMIynSIJkM2gsUvSGUEz7yMIMiGME7EesoGPUNiVq4oCaL2i7nOitXPG
72DTzmtb980Kvae7tyEtv7iWwBj16yv2fkTlAYcizDCEETkBFQg3hveKWwhqGPDCxOqTb2hV7UKz
tm9mHPHqFzqyQKdmWLY4/GZlDCNraJFf1Dj+HkF31kUIn9SfmVEKPTbp6U7pGuI1LRjgh2hElGBe
Sc4uzZRcCZUwhU3HSZ4UG66bdqEmrxUJb+uRzWL/67v6+2uAqsJBSxGBpAEIvd30CyYgsqRaSN+q
UwfH25OsoPfFBuVhavTdZC6LGZOHvnTbd78e9jW0HLk4Axm1B1oZSMC91zs8NGdV0KuqO3UIDINT
ik2nDvqXOi7Z069Het0xbSOBE3QAmYfoELa4zJc3CEuSXaG4lae4d4LnYZFjuy91bL206VnuDFO7
Zj6ClCQkRIho+t2keV3K4C4RkUm9YJNFYHV4NTxoxBpJjKI+RUNDnyHso89wqeIaYLlXeThKmVoH
r36/tAMUm0Mjoy+6TdRxSWxwY0J/dDJ/4Qg246hW3vhjj8BMBiDxS0/mfueQVUQZTWQwHhAOh27o
10/vb3zx9pa2ZcMPEw/MWrAxfC/mB7x0FAVJSQBgluIZpnKFRC/S6C6ADNl2cLGxuvlYxUl/Y9YB
znAZmA2um6OvOgJChNCHCgpZZEN+qQHUf4a8FYrOX18k9DmvFhMwKD4m0XbODHS69LXRIBzj2hmZ
9m85vNNlEu8QeLRC0m38pNDzNGWjGZy7WViK9EPGkHDpdnvljXDzBb2XNe0g7vuWCqBX7VK9XTg8
/lYBRe7hmH4TqibelUNXIiiLczQz2udLWkJufVp6os4DWf28qlzQ2qBEOpEB5hcHRIm19x6vLpXt
fEgsp2g46XJ41B5SxXbhDI+tW1sPawPMwisUhTG/gS45fl86U3DFgADcrJWZk2yBwV9kWFuRURaP
VqQL/BsIRaBkt3LzqVeDfpgcAvR7EToqSjVMR2gpt7g3d2n2JYDvOl1ZU35E0T3OsIgO5MMk4K3t
wWkfG9n1R3dI2s/1DPg8BbraPNQJgGRI1YPqCtQMYvLwHPZgrJLzsAiTB8s4FK5r3DlHU+dW2bxU
8ZDBUIokP+WPu6lPzqwklbNz3W/G595bgJjxMI111L4zwtnicZL+gfqa7qeEE69QoVif4xD5nwqI
3FrM0MkWxBjn2VPt8lVVfU837Z6Dlr/y5qowGqEi/rIsua2AphcjMkp3cFeLQ4e/mmI5H5E4NMNN
lXLFkcwTlZBtRhKhpCmE7mXma0QEIGWjyatgss7d4rvBrlajg64cM0kXvl4StTd+ZG5gCV/b8g7+
cS0QqlC3ths/s5J53vpeLcREAtKQEUu5/ORZwTXw20lPU++cdKMFEr6Selj3czLp8ijGuoYm2Gvl
gxMR/8itD7fuhHcArebgAERdGdI6IYcvsR/qtkFBh96gcrKx1W55Rn8BB/2hsdHCdta0Cby2SvuY
UUspXbVkcJ+TAgluvDzP+HTCKhviHqpjFyltoujaekzSdsDmVeYA4cMMXQ8MIojYczowOKqE+h0k
1lIWSxu1IldIHWkK2lVizeKVYsXsvCaAzJCNBJiqspW6KCjoRC6rOv5KphnEws6Rnt7XQTzFJ0rK
qrzq/EhHMJJ3Rg2rPSCnBNLavK9YJPJSzesArbjqEFrXhsIeHDQTiMXyoC7OIpBs7X6sh5oAgQ28
t3CEry6yIsMGYU2NcMgZRBkAZBCG3VsuRCKO/pjoFgGNOrxfkSfhFxwRuy4IPTjouzRiHtP7cpz7
DoLj2r/i1eo1xdTjCnKp2wrhb65BPBXE//1yK2KLqU3wqSBmw3Un+MApbXdV6VcT1EczXmcdQZmP
9Arur1/axk/CXYwLQKClFWw4uk4dHCrg+MjYaZrB39WyRqjJVKIhJMvYJxdeLjzI/HrgQPd7vpJr
p4QS2O1LsEMRA/iVu5at8shqdwHHlwQM0lr8vdRNEFCB6VP5Q2aWGuyANjX5MAInsARZwU3sndy1
24jWeA6I/2jbxZtOITAhueuSQd8iLg9bUqWiBj+QCPT/BaJx3O796rYdu4KouzWFWqByvYZFQj8G
3KPPyFYTJSS7mLzF1JnIz1WIdGYIClw0uK0/NAr5GGVeu/Xwvl0WVBa84vODouHysR+Zf5ijpYKB
oAGrjbDKEr+HAtk3BXwcAO1N7wd3CorqR1cT/I0lJCrOtGsjGHU8wWuEMnge0PSoUt65JlGCWLlh
m5ycD2oftYqpi7GBjjNAb3g3bOlwYRLBju41drDkCSAIZjda1mZEZ4ucuaNWSelB8gfg7N5DRmGA
dApY4G+10VvxCX/ChSKAz+RyERhaynWFB8ETet07TbTd/HbpC9YnXFcv3FNAEW95Nw0UjwrxR82a
Jc2MT6dvq6a+68YIn/w4oSqo8GdYUz3dsfPgBghrSn1krOJ1I4ljuhWE9SqtnWkwhcHptz7soAOa
efy/GkASuVhATOJudbLuxFPp+clVPNeABmNG4Xgwtgqfl87HZZiR23tfG0ddVyhzOYJwEGXyEGO3
2KvOcU9DUg3vIT5A4CALWO1dwXSUTNclk9UM8XY0AHWOrL/vPTzWzIkG+6lpG3oxk3LkYXDs3LxF
+mmlDtDoQ5y/JtsaUg8tg8Ee0Vd57Vmmij4UyVtEEYtCLD0QhijY+tZxYfe11Oo6EQ2HCcAbvQrL
Hg2wHTEveRo5mau89Tp8Jis4wuQYdNIdvkBw/j/snVlv3Ma6tX8RA87D5WGzZ82SZUs3hGRLnFkk
i/Ov/55Stn3sZGcDAc53sYEgV4kjW3J3s95611rPqpeTb/CW2k7qib3NHY2/0ZlNxJZDZmrPRjeY
7obsQD9y0lqjzujd5s9dMAYP2sKYflqDvjO+9WycZVgZhsdWdjL5rebKSNeNPSUu5CxelmmjFYG7
W9HW+st58TD/j1hpfE8e7GoencM6ubw4hY6Utm8AVYjL2p3tC63HSrFN27oazxBm8K77jqzSByYR
+U0HE9iEPDrlGBapnHBpTiMIvTpe2vsyaY3siyFWywdFxAS2fGp6S0Mkb2XcbVNPK5KTFjfTa5ro
2riB1+QWxyzQjdtZavG679izZBjNB96kmdJMb+aiXJ0rsjfsJdpm1N1L20ixxy9MN3I7pQ2v2uTX
GZy91at4dkhZbo3ZmrtoLE2/268+C9wQQm3iRUu86HITN9JtP0/OYjzkacd7jZMueOS9jipWB7XB
A9ZsIE36VepO4Tw8IQVMvhEWxeh9csy6naLJSXr70o5Lf7xr4UdCA4fOVW3htPNqcnFY5ovM6gtx
4XVNat2YM1q+ir8E/FwzpJXLotMA41Qy5pnBNDb0lyXxGa6RQZHsSIcUaTTNun5cWpvP/QJJH8NC
DG3yYyr9v1bZLrOvnZDivf8j/PqXaOv+v46QrdDU/3Gd8jK+dS/y5x3Mv3oS+MLvGxVKQHVVa4KZ
yVKOJm5PPzYq9IMGjmNA6cO0oFbO3zcqlv8bRG3gflxZuHH9IsdRFqzCpuRWudAYf9MhxS7mD/cO
ggKBqh7GxMXsG3h/uN3ViT+O5eiLa10vk0OTxPs0QQ3qrOmMyrxspsGUF/Ngir2lr9Y+mIebOre5
cNbVa2ebIpKaPJRL6mwDqyNtNLlAROy03UDdWsNcm0zwKL4Weq0LPJrc3k2bBJ9TKD+bkS6Dzayv
Z87Ni86xD74AfYxbZN8uDQHYRGzW1r9cuwUhRxTjYSj7U1LlODNs57T6eHMS27vEZfYpcZqBuIcP
IscrorrLbnu9e6EpqubxlDyOsH/DiWssgxsAu2JcL93a+zzHnO/wMb4EpfjszuM5KIyLySsfNKe6
7H0M7TzKP9Ud0r1mMJLH09lb7bsaOhIMrCczmzdJm+x68iJols1F44kvJuRDK61AjzrzfpwdKK+u
/dKXvgzruYSy4fXbDCge21nYYVY3u8ys7UIGsR62I1k0bmUk26eZeQIYqkixgMzTcDWVSP7JOhl7
ihJ2udvezcUIBKYwyMyY640Vu1/NvnkohmXH8whobkL2xnZx4lTHjOOd+gh54w7ep7SNEwwPyxdX
EaqVBSnyDJvIXZ2JnYU1KapNb486cNvNtQeuqTzNBu6dteJ46M1PbtoZHGcmgGURXOejZ16VsXeY
fUxEV3Bi3AHxbPLP7kJVBvLILvNG1MCWR3e/5tvewtjaDf6X1AWtPbQqRSyyPdovK/VKfC08V0R5
jwIHH3JX+jyY9WS79Mshw6GFCJq/dp31Ri/v2yTwziWtfaUOtXlsExYRY7XF/WY/Wk7B/I7HGcU0
o7qkPVWOeywdg0kx3XV+UuwMLhHbZZ5NIofusvc/tMLaGfrtNGq3WTN9C9ZiUlxZkHt61+7X1iYX
17cnW2vNTWs3h8DFASHMGE8X6fAIsepgakm9F938wngL/Atak6y2eq9vUGG5XRvBZyDQ1iZt+/G+
tY0WNFsCbtYb4NbyCN8Y62Bs+7Kh38Ip7wK4Sa4ZWzDK0yPU2It4lEZYFV0elUnO58KjxAE6MPij
VphouiBetdIqgY6vw3kBhx5r6VcrmezbPq7u/A7AslrJkGrjZ0l78mPaOmylDW0HQAiUcT4peTXP
tGs0N7HnXKSVrkeNnuMCyfkLrN3nvjdOUtxmto13sPNvfL+Kj7MrrmZgm+HYT6fAFN9sWTZhu+Qv
lV01Ww/jZKTNWhE1K++PyWlZ0rVOEqlAp4U5bX2G/fttJKWSHyW2nkyQ/Gxj3gZjFb8sakg1l/Yy
XguD9gjtfoY4VBs4Cpc2fdSS4g0+FP5vkLdbbs6oIhgFtKpRZimKM8rygeXHe0DMeJPMvO+s0tvb
ok62NjufUGtWlYtv6wvNnJ1Lo64egPC3V8A/QSn3HnCxYI2jeR3h+MUkvJNOFwzj4yXRRT/kNpaT
h8/u0453s2MnxhFAUwpgilecKwaLumW9FXHjhsZqGaGsxnXTLNqdRZVHpPMnkWsl5Ej2mhVDUcQ7
uJA5mcrePiiY9Ginp4IbOWp6e1spjJeQ93qsP8ROJpCbRuK8jrm11nUmKy+6LqdGxui+FIEjp60r
azffyEFBS8d83fQjgKxdNsV11OaZpP8kSe3fuTb/15PDf99MoBzEfz0TXL58YyL480Cgvur7QIBl
GlqFApdAoPZcB2P7TwOBAyrJxi4PX8ZUIbT/Va6RGSg6sTnBf9dRfkgs7m8e1DXAGKZrfZSW/h2J
BazRnwYCFHXVak51hyI28U38vC7VdBIiZm8k5MSrnbewKeolp1i5dFdWX37GKxI2M8UEa7acPATE
fV0ll6UYDrphvNna2G6mADu+NUmQ+OWZqTYO1yC/rFG6IwPGeZ1l6AYCnp9flY9YfhXENqAyAIqD
MdDi0vvDVY/xZDTGJ7cksZwXW4d5Hwdw+uwGZaSxq3vszEHnSC7OSTXF7MWcEYSEIXbDkF0JNjm4
g80n+OW8yzPY99KyZTRhPGHnFr+Pk3yzSsdFs9TdrS/g7zPn34sivZ2T+mXVp0eNJDYLuGTckCld
KapwTg4CUzQAuw0bQsp87MWr7+RfU68DDkUkvJv4EQdKgLayMW54DIP+Sy5Fs55zkY37vHP0SGbm
jZOTj1Ib1SwrKXLy+3lTEhvfu3YzsouavsYyR+qm24FblF+CLnYWuLb5A+PBTTYwPOBtQdPiIXYx
VcG9rOKoqoxbWU/dLi/tKtKC9ZyWwSnt53MjUn3Dmk2yMRyPicHJkgivCV0GrFAMrNm0TPpRgG/1
k2SVegiEM2Bq9KCfcUE7oXzlO8yJ30CrL6dkTMGb1HoSySr399bka+y/rAu3NY6tTWnIwgPydtFq
no9tH+ygPught2fC7Bpruhpn7K1wNU5I3D6ZR+VS+7zozbqXiYUnu0kV0I4MYdPYO6/uWvbA43Jw
63jXJ+3KeVeDLUqqr6zHqw3CSRKi8lfbslbI/Sp+Lr3p6CbkEbOCngl+0wWzVrbLs5pKEu7RWWz0
W5W/PJlmewfaPY08c5yjfHZ4Qw6ec6VLnFAdG9BNMqxfMRpZYSMHurs08JZ5UQccAcIjxmuO0br4
l15lB5E/u29dg8m0CwzUyb5mM8tb2bHzOUrGrNw1yQI4Q3Pv69R6Hj3QchmmbGpWvPLQy5nQfzLd
U6Aij6xovqJ4UcBRxW5YJLUf6cPI2zjwbthuUuNgl/ZBq5ynIDdfgXrsPULTW3OWl1qlYS3TICLZ
E9VKafuKx3vhxfcAFdQycG/1Ze3tkzqFwAzy5s22s9rHW9MbM/znGQjNDkKF2JTDAAjfm3eL1Vs3
3lQ90TUlI6g0RghCeAgxDDwS7ablJp66Lcs6fBxBEQnRL5uiEJ/J7BJBLtmoZQTh4w4/mkFC/dy1
xA5bH38xwN2HVcTXndtcDDOYsEHU71nf3psWo47pn0dfv12B861rujeL6pRq6aWeY54D/AznpRxs
1tD2nS7cMTL4fXftTGjOKqaNx7pSeInJyplvPEgOcrLPuqa/u6gLFIWpR5O9FXG1nIS2vJgY3UII
pA5Bd/yIzJnuKVv7nT8nMy06udf3n+ukHcVuThvuPqnWiXtrGuSjmOfpaY7NpsD4K8fuYGW+85wU
wjn1kqXBDUb1hJaAVrOf44RB7jInoL6vgqKPhiD+zLbC3TqzyVsjVjUKvF8ONlcdAgNruZl4320d
GuFC3oVPgz0c1oJhwoghbborXkAVQ6DGoQ4DEd/663o91/gSV5ikYCirm9JNik+DwROuauiY6ygW
gYKYv+PBvO0gdx+0Cad+JhsucEW58Rrvzgr6b9UyPrYO3BM+xXs/7h7XYEhV38dNYGfnoVicTdPo
L8bMc1zUE/ak6s6YjHLT97E8tCWE2FrG12jHJoUmsF+oOpq5zUxGcayFCdzZql88MdK0YRK399zs
IivyV9OfeBrMrzNo3pobIDhsB5IDwlFSUvbBeuiBLr16FFFVHHxW1/W6zwZ6Ikb/GkxoxtCUv7tW
elqpR4lri8m/zLYGzNjQ8PGYlGNrYW6eyC9YQItjnn4dlspdbTV+uCxEJXIz2/ZiXmmoq/Ys14xN
NcH3Zot4l+VOEJWddxE37Y2QWAPxRSGX+Boalcm1B6C3k2g7p+vkBmn/sXDB6TNCam5cb/B+fs79
8WtOvmcPluU8NbMIx7kH9LB+dlo/BCB/TfEJwlvvnpoYgzqdMDuWXwzq/jNMuoz7twADqwkjHCrj
osbOsyF6gf8aroHj3XtBYYWGab9Rq9btppWHreX357zCflCxtOd/nHed253YJiebIQM/kHXekcYA
ns8MpVyKw0LL7lk0vbQDFImW/9YvF6PQHguLl1r32203iJ7HzbirjOQtD4KDQxJIaPxq3PjvIPK/
NdI4V2b6u8b/zzxpMF799Tx58SLlW/1v5km+6qd5ku0SQhMTG35qZb75MU8av1nqP/sUaf5ri/Td
svPRwobBjWQc2MyPnojvlp3gN48wLb+jxy9+dLf9HcuOmmd/dcmw4MKp4xgENnUbM8mv8+Q4BLPW
CHe6XiZLett0jHMuMl6wYHjLUtbg8blfiwQ1AORQ8WgMhsacqPtZf2zWTN1+3LW4kEswgSqezZ5R
bGpqQbqpBvr2dXYnT80NXbxu+6SDxIVr8TC7RhK8/95rtEgpu12feXYcxVwk+Rw30KZgCWmxtm5b
FwwZF9li4oOyCoNZ0fvoTILoRn+S7RkVR57/4Z0rKFj66FrqxsR2PpUGmbcdORcWLAYG7dq1+wOm
BoA9Fp1O75Plz7sEbo6Otp5X/RaDvX6gdUrtuf3yNYtrNwp4LnKLbZZxq5X4LceKKs2AiDv9Xhq3
Xyyfr6ODCXJdK2vf6wuoVqdN7L2zpO/upNlhVfvveV3amHEwensNv9ZoiPzaOHT72RPTOU3IAfq4
O8Mk4wApe1YlGPXqV92jdsw0erbIFY0+YcchGQ6Ogc66ZPqBdUEa0otUvxi+shauIjk1CKY39sIq
C+JQsKfA7K3wVmcP6ourdzraeyl6sDLcOhleuDrbzlDeFPoAjRgxqmpGnOxtO8GNw3GU+NZbSjvG
wekK3hYjrTdVYvOgEYkX6q722hQkNN21BNEdCEquuu7dm+IY5SZLeZojWkRTR8Kn7FlaCVHJU+Do
eWSiHF/yPXMNEK44FdMIrCvXI5APNp7LabmFIe3sp0Cg66j4H2oYNPDOhrg1xOO2Xju+Td/6UtYF
bV4tA0endifI70nIvYZIUcMgM+A+2xul294mhC/DOZn6Wy/DobAuRkvR0rIUbDNMRngk8a1k/RCC
72m2s+ENrAGICcVzXRyMku6NlsXf4f/LAv+/8Br+H1fz57fu3z00f9rKGxTMw68B7qGwnh8e8R8P
TdrIVczFwfTkgmf5aSuPR1xF8gOePiojo/Iz3x+aNvZxOm90oKSAggk1/51L+IfZ5w/OQmCXQcDV
Svc4vP/g0/OMJtGR6/orT3okRUkYkmlMzTLyWjvYe6P/IuNk2rUNbWXGsuY2tYnSH5aAYIKZP/E0
GrBYxGLg+sR4V23yIZ/0LYnHwbtp7K6bbuqpuWqsInvQuonQWGrBlcvlKm/9Ms2fuRvjVK8XqDR6
jCk9CSYRL2Cf8LGb9pru+g9LbuvMnXLqaBUBRgNbjHxCFsvnJpxJxzFIWYMrM7kz6zkzTlUFf/g+
WZdC22e8202GraTbBxYem8yrkz22STfqxJTvEQfb7dTGxn4sXAM1FOOJXriMoiP5lkMB93ndWnJY
YBeYwTpvy8Fy28vGU0/02sbSdORO6V4Oi0wp7DGFe5+5LvQ/gpQw6xFH90aTFv19YZXEdLl4l9ez
6abmvvX4d9wg4ss62dihGiKMOYDNVHjHtjQsffvPR5SEh6KY/6fJ5n9K2nK//WlV9vuXfR9tTIO8
Br5iSAGwHiwPC+aPT6n5GzBeGmQZcHTIWvzS/67KkLKgF6u8P/KY+qXvn1LyHw4QWKYbm25auDt/
51OKWP7H0cYjReeaKPIYdnSG5F9HG66HbTD46XCdUwB18svAvuzq+exTYLBxhu7Rpey6zfviUHNi
rG+pkK12C1qKnfVKvQwKEDVTFID2xXLbJ/ZJyEpQxIkqY6xM9l5h8EEpRzu0m3SXEK89Yt1CSKAd
MURcT9JNMLb1rvKacrinuvaJrZQINQY7VIoZ0aIxpX0aZ2oKnaaeaTJffAqSh7LgU0Nlck93chJQ
opypOuXFEFgLjSI4lqpsuVG1yyaxjUvf+qhivm8+upl9VdPcqMLmsWNS81SJs1B1zqUqdjZd4tcd
NTSFp0qfE+ooemqgHfqgfVUMPaqK6LEEaa+p2mipCqS7SV4ZEgIbFVZPHfn8xZgUujAy6Z7W7eQ8
qTLqXtVSZxgJCMj5yJJcjWte4TABc7XlD0ve40m4zzwNx3jXOi03KKylG1CJtCd0w11aWPd+rtfD
sWGD199mlKwcnBZSXJu6B9YZsr53e51IeTrE3hhaXmzvLYMUa+jEVD7Gw3Qk7TLsBzb00VrVN0su
r3hynOjKvGp18+z32o6Y8kkD5yRWhHpV0M7C3cmab1Nt3mV98PTPw4OHh6PrfJT++lr0PxVgku7P
1yL1VT+eHR9ZV4gg/0p0cS358eww2MB7tuvga/710UFyTA90CzEetzC+Ye4q3x8dPpV7zIaYsFHL
XQ/q1N+4FfGM+tOjAzcW07WBtOoBtlO3pp9MyaJx1sJh23etl9ZDgZxjkiOqbHlbzOxnJ6X4JOAi
K8M+5MuSs/JAFYqVPtTPQxzqLUWR3jINEf64O2jTLKUazwgnu3eptDaQv5XAFvB71QSMtiUK4TFI
mGkbMJ+d0qvWWvihIeZLrUXLqmpW4HTTawAYnTjC5ZizMDE1WIpTe6UjiBGqcy69ca0vcpPYuHCp
ik9iEpimktKkoi4odc1NU1qwuvohrX2eCUqC0+kGYlTZxT5sYllgovPs6g2r9SM2VQ1yq3MQKHqa
kvbiVl6uSuyjyfQV/0POonFYKAudtnV3zI0LQ6mE6UsHnZm9nhBxEk0j5NZWyYoeayx4FbT6mqts
tg3qIyMH00gPMwNd0uhhPwQ6P1A3EjdDu1w0NuFLvdXWiwFZE0bzs4PMKZTeGSzs6wMk0C7pbjKl
idrUkIZiNq4ZRZReOmwZCXlJLKa0Pknk0VN3BMynd6ZSXAOk1xkJVtY+3jOlymZGauxMpdRKb0Sz
dUk6N7Hot6VSdONiojFG9y+42xyXIeOm0qUU/9Zo/bSL6koZbi3c8r7kEHEDbMzMj1BYlZac9Lq1
iZGXE03kFAA2+1bPT+BqHuyApl6lSleAVXtSsTDggkiYbIAa7Kthg5A9UaVDzWF7sgx+lhWxO7Aq
Wk5io9aZGPv63o9xOfgdWI4Cur/dfc0UBcYctRve4C+ByFin5Ul9SgvjC8vYy04xZDR6aCMKCd+w
MLyN3rLspCLOtNKPDzhiXys+oqHgW9kUnDSIksO9YyaS7l79BBX7qQFmsyqqjSPSvQBz0y4sBqWO
q6BXDBxRAH/opLzq85WPz/iQJvFrm3r+obbwIOdadU+BhwoQDp9bIDtF2yfsDmmTWRC8xeJWOx8k
j5s4n7pUT0+jovUUYHv4PaeLFl4slkQh2Cy43ebDfgrvEOdAoF48Lvkb3Y3dCETCZylyHC3rwLVO
1vVJmgNgXM3z6AzKiB5KhJ51ZqpMdEUcStPuJnedAMB6G0FGhewxVI++AiUkfYrjD3SCNAWkGYVT
iBVYQSrEgliALbBRx3TwAWAwhyPd51Tk+vTzfEAaFK6hdQE32OpT6uNakwrqIKA72H17yKE95AK1
O1cAiKbUDD5pQCFwp4KHUKCIAGJEb1Pyjic10mBJ5ODQhRw/GTAmnG44CZgTgd3djx6OlFVWe/Yo
AGeqeA1rSBUjxIpMfCiG6U1lD7dFMj36im0B40LGmCALhb2o4F+QIDjZ8DDY0Dz0VJeQLgWVoQth
oRjNFwXXY0/hNKoF94zZzZdxZ90WLDwpZzLo+2pOpoJxLFA5bOgcGZQOYhpXpEpu2twjwj/K1zh2
WJ9D9ihTwud260NqzqtnqfAfsQKB9GbzIFLSsWyptmPJu4YY0VI8WkPuHDKq0DA9KXU9FRjgld7+
zxH++xFODuuvj3DCHoP80/jPwc9X/TjCDe7bjm6Q9CNk9FHe8OMIN7lvOzqYRM7Oj0H+x/gf/KYu
79zQud3D/vJ+OcMVd4J7A55Rdb4Hf+cMN9Um4NfNpufphm8bXCVYazJN/HqGz1OcYKSO7etibbzl
uLqiIjWcWn18jUkXovqlRiiEUiKv3GhDer/YCQXYTIwYrFDXkHGApJRtsR2C3o6kU+kHfVKN3bNF
of0oXrjas6l3spe1pdSrsgjVddI9l1WCRzrOb/IWZ2oS99umknY4+rhj/WWFLxO4MgJiEaNfF2M4
aVRZp3CcaWrsz1SywMfxss+j4d5mFqWXJcliMUf1iJ7Son9Bu6QnMxe3K59ctmdHrEI04ZVwfU0a
BTYBfl20g/UlyLtb10WDGirT5SNr3ph6X14O9ip2WOLryITaSxqlfbfi5GXI0aYqmN/98oa9zYlI
5GxHCjCiki7H2bQ/N3XCwx3f3cGWZJA6SyFlG7hFlsCSSHFmtzHG+WytWb41u/UNKvBuEOPZCKa9
gVYpG7GXltx2hGbM3KCWHiDEphsVp56I1MQTKtBDc7Wo/IWu5BClgaTGwO/1G9auD/4AyagsmwNx
7O0s8ocy0CJoXrdNp59TbdjgwcXJ7VS3Iy/pUNmk7+asq/e9Zvg7321OhlO9AnTloPfiC30MkKuy
emOXLHpP2Dq7W2PWm/g570rESWmJpL7V1n5p9pVRs7nWC/0LF5hAhO5YfDUdC8ERUmdmDl8Dme48
M1CV7fxyNkxvmMfkJpdg4qtxPvRLemXXsb/FY7ns2j59x+wA7tVfnmAVPPTrfGuMxjPpuxOVvU/Z
mAcbl7T61kvsb5k5nyY9WZ7LtEUW6hvybtC4/JFNpgNMKne6W0znB6/ztYvBax+WjB+LWycjYOJf
xzONgcAveArjj0gppnQKN9j27qIfVg//hrCJUPSPY49/vmpsMyrJcxRJYO0dLSOeRdCtMRzQKmO3
0UT6NSnaFQl6WXckxJsNSLk91Q5PGY0ago8NBHlkcPIsYeNJtfZHE4Y8cJwn4PB+p90ssfal63WQ
e9RX5mb+yYnThDSM6TGccTQSr8P9fQB27jH00OTnwHinVogsgk+rhlu8y5Tu2cp+GWV84ZYcy8WS
XzGsnBuLWyzGx3NNsCg0LWsErOZBz2IdnffjRGkEpnH6BkGvB+VLTa/kSj1qVYKrl8mTVVjN/aqB
+dNSX7UWOJ88Lb2fmbT1YPrSpnZ2bNLguM501yZ+c46F/OLO8Z6Q473musfU8q+1ANiD7r6hRV9V
lapS5b25ussaNUY9ROTy7sZR7AsUXgrb912eBtsCljp8h9l9lqM8pmY+3MU+ggBti7tqns4uPZT/
rLb+5e/mSf/XRxsJrf7t31xO+aKfTjYlsSku6nej108nGytf1lP8w1llcnx91+xYTNNwREL09xuo
+9P6OfhNJbrZRtHp9fs+++/cTknl/+lkoyqO0L5ymtt/oqGPzYzlK0mtaznbOnPreJwWu42M3AJn
5rY7GCUA4/rlM2gvC5ON/bWz/AvKQIrIUWmYfGZ30nfpuceiG9Y6Vb057Gl/bYZoluMVXBEZ2UEH
UkIMeFTqpzTD41uVd4Wd7yGKnVA171paiWALwaYLGlOyVTIv6oqwGVg3jEoBJhW6xsipxJ9WkX92
COFxlQDb6c7VtZNY1wbs3AB+nVe2x8JZreM6wuik78jfjOm8J7C/Nf3mneXa3TAlzqnG/N4s3auP
iBjI9XFmHQflA8HMIvAWunZVR1YTb/QZypTXpI+TMTwXuDM3qHUHE/sKRiEP7lJqwVvnKkEXsnUF
lu5E/zhdSkhXLe6pcNYEl4HSv86qjkt30l7nztic5gqW6JBxoaUFpcD51XHUUnV8JV2hUzg+rMBY
7PXdR6gDVuh9XTP+cmkATW9NoithKru3lAXWZS7KoxNozLdms1C1Lv1rmc0og97Eq4YvP+xApMDL
gyXIjU0RRw13n43wsNyO5I89e8mtnljGfm3QvVpFnatqiqoIqnL0VOh8+lLmB8uay61GZfU+T1UE
fSVQ7c44+JngD1UcG5ExL2CaaHDa2Rx7O3uyym1X9ea+F1a1ra38giXcGY/PdVEbRzjLa5RV/jud
miA98VVtNWCJ0TIs+daIvWVfUAC71XPYihx+9LDRH7Tvc+y8OTrEPjCJHVV4v7DUGtkdKCd/PyiJ
xDLoPNT1OI7IOljYTyzttkQECquVn7SdXdpc0MN3fqL1HDYTdhCR0FRBDJBcT5GdHG6D+8RMHxZT
3uCMqgF7Uqcj+uZVlDTEZqlL9BR589QE3DISxFNKy9VfUWbWz5N08k81mccQrmp9WAY4EeaM/YSx
wLh2fBYmaYOdJ+PvPbQ6bTj4E4GedLLZ73hD9q1QkrBOe9B2TCrtoPf5bnBwC8U1F0jST2EV1F3I
BE3Rk50PFA1NftQ1Vblxx5yyaWO+zefhzlUSp2QwyjalWV5h9esPBOve+3p97RGHd31jDPiYy+4y
IyS1sej1KbvWPbrLxCmoeSNuoNq+M7XhMQtEr0V6P3A0peZsGKoI6uvEd0VpOYbONC+Z5NIWj9/y
YGjU8864vzaMRKeaYXE7TcAng3Fg14wLriFnz7CWbLO61ug2Z4S1rE8jN1dscelD1eYnL69vJk9u
NM27lM5z7JnnAeMXLSrl2+T2F7OtUW4C4yvyp2G6GPBkH4JAmUZhE9KnrF+Y/Glpk57H0X5vCZTi
tC8v9UkHghl4j6sPDyDLV6w4svqG7EZWsqqOIl9u4a5cMIUTYE9HK6orn6M1MwhNjqkTzYoDOmZc
9DETHWsJas6TFraqhZfQoDl00JL7co6fdTE8NTaPB19vxsgrunM2GS9zQa+3LCzcrlIkO9wPeyOz
gCjY3XbMJauylSxHKcdL5uLPg8tGytPsm2D2/FBUFIb5jsP/2euI50UJiLUXZ3TuA9kzKm7seJfr
or3OAjqhcvLFoTYHUT93bzJ2mdLGLCL+7T6x3K6crajny9rsvwrbO9aD8wUnkHPMcD/k3fpKUJ44
uJgP/NDlLjWJsFfGGpWud0VB2D4NhMYVHVRroOFsEsZBa93DMrWMXxmxh2y6rYfqojQlS6qsfO19
+Ke1dWUkzV6z231CDJzXdDOXBv/uvKTQnjYSMKjMvBu4Eng2xXLs1cg9qOsULWxEdzXOAiqfrOWc
9gCGmdbB8z7QHLNN3frgqXF+YK4HrbohN9mFdSy9sGL2j0ETZOXG12FBSe4GLHDf4oERnHNMW/bS
N6XPyg9TXOLWd3rWdf/MRr/PRhab7r+ejW4AC/67xJz6qh/DEZt74GkWzhr27Kh/v2zubQAoiobC
bYnl/c/DEZdwVva251jqSo5W9311H/yG0d50Asekh+tDRvw7w9GH+P6LOG97ypzPd+EjS1p/BPTb
wFBq+q94cpcT2l42Ymhp/ba4zONyYysFPV0/x1yRzbYv9xNpNy3DfF2lMXXuyT6IycVkxfyp66G3
WIIrNLN6YOvnIcbfV81Ha5bE6g9Orj2JJDnFyY6uuWsjD/CS49Tm2qaEfgMNrZBkUJn7v5VKql4G
pyAG6j/hdCq3PkhpTtz+aRXVYTK5ZlvOeJNNvbVta41NAUDxdZwXdYe5VMwnTFnlY62RQ6o6/S1r
5Pu0mt98rWHtOBTppjPn+8qf+YjP9tO0aJ+71XZD4jNsqF1GqhVGs7ssZz6bd66BfjnXFWiwOI8o
u+B/jOW7E4PXHlf5lYg5uRVhqqdDFsYxV0JIDC3+K+urXnxxlpuUJD6L3k3mTN3BVdU1sdd30WQx
iZJ6o/orxElt0dhtLdOxk1YfvBgZZvFtNndUrtcj6qjy1lBF0aJ/gGzulfNGV62PkIlUhzjWel05
dCxzJNLmKt/Oohw86YeXZy2721H5ewbl9GmU58fEdhFKteNPlSOoUt6gqnW/COUWmgYYfrZyEAnB
XapXriKWx4AhlNPIVZ4jJG6Qx8qHlGNISpUzKVAepbiws8tY+ZamYJCnFHLgflauJprUabdplddJ
Sy1ugcXwbiofVJu2w6ZV3iiI268j29OQ0lT2KWrAMSCuhfCWxAF9/I0HskPODsZIrbxXHSasUrmx
hJOXN76VwGX+8GppS7YNjNre28rJVYzS2XOAv1UzLi/YFTiAlfPLUx4w/ubIdipfmC+AtpjKKxaj
1PKC4R+rlZPM+jCVYdAHc6qcZg2kHdbISMRSmdmIhHbnSXnTkgmXGggsdt36/2PvTHrjttos/Fca
vWfAeVj0psgaJZVK87AhJFniPA+X5K/v5ypxYvtzEmTRiwayCRDY5ZKKxct3OOc5hIXWvZ2vuXgm
MnPrgzhGtt8I3TRQftvuU/ymSh1c6tUwnPHLvKqFxKVSBVMKUSZFBRq6Bp7zGoUMwrpUauzSEsQs
9xwomFRHMr1kZb+OP4V5k9Toeajs0o+8qOadq2n6FW78hgmB05314aK2Z0ad+K063TIuZ1ql5hYW
NC/bVHlzPyvMZNQlZCOGRmbdxZNvjd2TEjUPeVUuKAc9ltmkCazHAlJSqqJWdOb0Xisr5ndd8jx7
ZIHqcRSfz7DGWfWD7FmGq6Ts3ZVlQw4hHbbZe4P9Hufj86BCNIlcEGOe8iHSvvOtMnkylPSQm0Bp
EENuDUBbPjM9eYh4F3wU+yHzPiruU2Xge9EX7q3qWqdGiw8MXRyKpuroqOabbnsPY65MaOmnU7+0
7p4Myl21dDfd4t2xJA/XKrgvvxlkaUKFm4TJvDXYWfhpOZnsGsozEXV+68bXkdqiQYjCejVA0Tiz
1OVlAmmBZlPfsb04ZE546RriQpnYf8ygOrlTcAiUfNkkmIYowdJLXtl8lc921qe7yBgTtoaDsZpk
lU1rDYTSrrC0MHDzOoszSx3KtW00J7ZEN7as11NZuUclNfwkq/lM1vWOrPBnhXjGWlb9YSWiq0J2
Ah23y9Wn/HCRfUIr37SXvUOKN2mrdnVyncvOgsIA/JDsNjrZdyjW5G1r2YsssishXpL+RHYqk+xZ
Qtm9JLKP8WRHY7fWB6CZJcjMZY/B71Kl+SlogqyB7swQqr41ZIdkyF4JbF2yiZHobnPZSZmyp9Jl
d5XCBUpkvxXKzkuXPZjLLmcXy75Mlx1aLns1O4aJMMv+TZUyKqC10ZUlu7tY9nmD7PjICWBmJbvA
RvaDkETxeMoe8fMJ/692W2Vp/+elTvCe/9exan86CuKFv1c7xi8W5YoKNeRXmdM31Y7JVIdsMBq3
38Dbv4+CdHKtuUnRaMMzU6Xc8Gu1Y6L5RoYIDs+2Dcthy/dPlhxopb5bcZhAupk5feZsGSaZRN+v
OPoQMGq+lOBMqfzVLDl3osw3xvnXahj+Q/SOzSEn/rn8L+r7U8Wx1f3Pf+ufu5I/iip+E+SOUloB
DAGYnvUjhgDMVkYjnIkT+sps30N1MdfWMgAeBXtR6REmEuFQ3vfVpTcP501W3zl6C4SGfbIvgFWt
s1bLzsYWmwYSI4hzMyGYikVOJP6kR9HVOPzcmFm/nODEXX5T84a+XuenSk2YjDol9q9GbwIXOItv
cNMyHXDPmmLyPWZXfgkHJUBPytQjKzehPW4QvWPiAdsddNlEfWA+KK5z4ZlYxfg1H2MTYioAgBsU
+tdKMR0VxTr2iYqRQoYBA2ncg205irCI1oWn3THtzVdqNGJjlLPkYeyvoL9shDk8eG77rkfOc1TM
T6204WcDtkZoaicSHs5syCYbHJ072wvbbUfKhm+07V1lR7tEZlvkcXyGAva1FHG2GQu1DuwRzHde
TTVPBDmGwAi90frlWSuK0V/M9NJ0240785gjKyRo7Ox5cLS7tqP+nIphVWnztdMMW8vTdzjvFWZd
ILmEaSQsr6FvxbqFk63O/aJvXN/xnr0eBzyem4GqZdUNJsxf+liXTR3XL93iff9wZ1Rvqm1dIFpn
Ul4yamvYN2nOfNQFXKCZBZeItWSTafkJDE+6MQyxXQrzIoqoyXrN3Hojn20sONMUGzNo3XjPJecd
Q8lrHsRzYCzdfWKjJYhAsqzwst50YthrVjYGraG+qXyLV5GY7/MksbaTsVzqE2KALk5H6DHtFy3X
v+giZ480absq9/bUchpLJbFlJnlVwNdDam+fOwbZsnZevi1p/Rg7XeyTLnTLOicNzMbJdmIwtgzi
fN0IN4wcgMPwFUOgYAqkvFPcvJSktbabxVUw0ln2hG1OnTIMNrPegiMCMFQGqiM2mivkfKGFoptb
bMdnXJkhvnPT+CJUb59YRB0tVctSP6vH+4zwc6YgQiOY3UrklmbSkiBL9b1RmzuNgWIvIQtu88JS
8lrLlHfX4zI1LBoqvo3MvcbbKep6yg4RVCLT9vgPmeCJ8dxt2fEpDMEwtjFy6MZE6gfFk5063XqK
6osoUUO/qycWoZLG1J3XKUz6vtsJ0T8CG8Qi76UkjatAqypyzrlljTI7sRo5yxVlv+TUgpRH8XqZ
ZkbLY/LFFlgWU5FSDQzaNXi07VT17xnrSn8amALZNWnAayRL+9hs4WQpu9l2KEDU58WaM59KvlvN
RIqbN/iAmccNh7qSPlLWZcQ86RuAB+TY95jyjbUwzN2oG5tWi5l9LvW4NZy036gaE+FoNJ9L7GU9
OSRBqLQttst6O2jl5VyJp7ZKmQzO5j2QV/cCR4bZ3AKR9CPXbMNdpRda/nfH6PeqMnmK8rgw2edZ
yF7xW7Mh+FZVhtHFMMPZnk8C0+fK3IaH6aa62KdkCb2UD9RAe6Yvq/CMldoQpFtj/80D7ifHuBSt
fX+I8/Z42g0E8DrBbPLH+0bU1oaDNSr2sJxG56UO957ar7zpWamKXyuKP31c/Ox9dPLxHDxF4Ihl
ktm370M8OgnsULFOWnIOkXaV5+9etEcS+jfv8/3T79ePU84MWLsAOEbG9P37NBA+rEGL1ZNtnbU2
gQd4ms2Hv/7MPscFP35o3/4yP7zJEKtqpxOFcBo33T06qPW4U7+4gRSaXUBHj1bX7Zqdwkbf3R3d
IF8dx4tkc9+tw/VVehCrXRu0533AXwzIgw+q9f1f/3z69yLnXz8EqW52DMtAUvFj0F4O2ZPdtKqd
WLwcwyt1rV5oD7SAgEP8IZhXhydtO/nHZiN2luUXZ2zrr5hIb8Qq9z9/lH8LSZVr/ueF5IZpbPmT
OAT5qq9VJJkH0sznUvkhb1FNLuLvC0UoUyyHdVp9lb8hkd5/KOX5f9Qw2mehSAH6exVpWL9I+BSK
VwcbjByb/ZMq0vlPqYyno2ZDcYubhe+Q8cPBlBFS4MFdcI5IBQ5R34zlRS/02fbTYqxrEI5QDbau
6DqAnEU03VfQCOagIiKcHWIaP01GdwODcg7irsx80Q/bRkQBJz7PQLXUgwoPFg14+oq2OOHxQa75
rHSA58DDsVLFpZ4zTMOnzALxgYh6Lbvq2eDd0CLuPIE52cHnnUPfjNREOWZh6dIUjdjQCiV6mus+
PmHJTexTnM/OySpdHusmchJjZcOkqgIrLNTy1gaEugkJpxLrbtLCHqpuFyf3g1l0uI8z8ZDpXsy6
NKt2SZym805X2wuImQcxWNdWZM6MuMp7dclvB5MdQBXXb6ALCGqJh1fwjIwgetx0mvEaS3Jgq5hH
e9DhVk33Q5xYvoE8UhmVQCnIfYok28msay1wZ0SlXYnfXTPjB1BCLhVJBm3HuslczNv0k8GsJF90
z7ktBvNdNYECdAUfiuX2V46RQRSArbRj8saEP6qz51mGKWQi2akL1UAji7oid29xx+ibqsxKhiO9
sppSfReTxFCOI+ZCkeyN2EBKX7ClhRkpZ3tZudbTBsCpOh+MWr8K9aHwUWtipDT1XZVR0ugubn5v
nvT9PGqUo4P6Ra2gLQxdAfHVCuEmddui9F6iuDojLeSsMxAJJS67IGPxbpyQlQgs8s0UKl8sb9nk
6rQnJOcYtWzN2AYHdbvYu6LEX9CRNtFX1AB2IrLVoBRvIvamYJzLR77SPWqO0SGxgh0tX68rwE09
Q6zq2DOmJSwwPIGwvbIiJJtRrF2HtcLpSIzaSp1ay2e/28mNcRBb1eOQ6u2qivpDzxXsu2GDVyHZ
Tha4NFttqvVS4pIc58upsR60rj96fXKb9uCzE7W7L6L4WhItITINWy2ylT1JXQZcyfZ6dsJb1llX
SzNwi2hJHeCjiFZeksyMdMLTEC67OQ/JvZiUt7ZR4kA162w7W6EKjtEDNzDgV4msbusyDgoAeC6H
qnYuUxnxUbmW8OuhNPxizHvWr+Ic9NgXPB+HZHBJReqSCzutW/iezhkuCW2renIAgVJN4wYITC19
adVakEzRX3qt+TgqUEm41cdVOhe2Hw/GRzEPWNDr6npYar8fHBRauDgcR7KOy4oFYTbe6UTW7hST
b2coc/y6PAFcoS8kojmPlrBudKrl/Vhl9DetvkcfaASG657HI+twG/WnrxamuRFNeplEdmAr2XWR
j8co5rtNWDYCelgzSeGd9KhsNnZOwpGoBT1Qy6C8Ke1boTUjLDD1I9RNbPn5m2pY+0YYKnAa+BGh
or+bnXLfpY7nF0VxX4heX+se9py517aJXTxVs3lmKdUs+RswRM2DY072lZG6tYNUTp3BjTevBviO
SrcIFZL69MFqLmzJ+FiAfVjj8toa+lPjesbOkzyQ2nNOiySEuH0Mg6xlsAWMECgEIBEkrljhnP4m
Lnv2XbWa72a1mpn1QyBBqPBc2+ZNXwCYFWAl2T+GIgAdmzJmqksUz+pxBIu2pn94HxfWDqVlX6SS
fDJKBkomaSij5KJ4Q4MOTRXIHEzxRhMHnKWDo6KGwjomkq0CXXSiudbjwAC8IiSBZXaB4WlAWTJJ
Z4FxgKgbXktipTORxHF9UQBzmYG6FJLuUkjOC0rRaDUZfFvrNn2zJQ2mDtNlbQGIiUxDkmJgxlTA
YzLIeUHs2PnGdRmxcx4u2xLYTOta0HkVNo7htpI0mlhyaayKLJa5E7AQ+sLbTJJfw54lvLJLvd44
Em4D5CZ1EnB/knvTNYDZEBioPnia+RAPw5cMvf0mlsQcvTYg8zHFRXUVlewiyuVuEQXXhrXJxpLc
HQUj4ioCAbyygPLAtKXP01xEbxZYVcA9IQAfJVkKoL6EWoYZMD4gP0hcblzFsc+XrqGXkiSgYZxP
9RDfljotbgbseIOmP1kNMEqIA+jf7KZAFMEiaztJztCsRb2PznxaaXl86oERlUy4g0zyiWpARYhX
z3EqBAjwTqMkGRlpg2uaYFro0O3RA3fkQn7MuxBVtQPayZZMpBw4UmW48zqUvKRogZykglDShuyl
ypRTDlopw5bgq9Tz67TVYJGY9XuONjAqVBJhJJuplZSmAb1EIHL1qZYEpxGUU+gNUAk1dQxE04Z+
BfCpdFHKplMa3TdxjrsgfLJ1Fv06ty6o7w8EJk+WoZCs1h/rz767L94IDPLWUKYz2ND5/SDpU5Xk
UOkAqRa1VgMlTy602gpZ3mRneUslYvJMtSTPSgNsNbkd++Tw3JXEK1ZKB7QbXtBkLBis8qEAjjWV
OqxHyctqgWBzQQ8NKAwrL74ooDHExALKxjABuX4H3umdMdOGvKN+20HF7mr+VADaUFMVZP5ZkbLc
gMFRd9mLN6SvoHT9emS1kkLsQCIkvzVAPDpoHksniOvMuDwS9JHi858k+iMJdbJQoYFADTFWDNxu
kjTiL3OAj9BDklamRkmgCPjRZEvl9kwFtk8m/IcSPmJAIVkkjmSAS2LDJwk98aAZ/OMSXCLC9CyT
KBOj6N9MFpyRA+SkhnbCdgNoYHmvGTzwPCy9lgSjzK5xZIZx10pkSi3hKQoUlTrxzrEhMq+DrzJg
QyaS2cIzD3sFnQFhpDpOXU0UJLwAaOkkqgVxFIG/Et8Ca/SmkEAXENeIm6k7Vy60F0ViX0qz3Ttw
YAQ8mFiCYSLhXs5auq2gTMEo0t1tO5eBNp27MGXYqjBclJgZBq7bNB3xA0GgwdL4akCksUX06kKo
MSWqRgnVmIvVvGBZYb+pC/DOtTq2Z9w+t9GMs4XQznutdlbgEKENt2t3Z0T5TkeRNfYZ+CSjvirt
tsA4UiY2lEPT0pSHeKwqMrh08kMOTJdEQdixGN2RBdOozFfkwTyXqpUogRkyp4gWRySQ2bNDhWtn
NWUA7FUFlrEXIe8i7UlxUiTmmSI2iVkFZpENQThWj2ge8Ea77DLHOdIAb6RkcZQ3wrRRThtoYtL2
wUzwjhYUXkqY9BvP8vaxY77gHT1NCSuX2EFPHSd9Qd4Od0iWmc3KEqO2UlDB8DjBnJmpPNhgHNhc
P3ntqM0HD2mzF583LcmEeW0GU+8cxz659AbnHB2ityq79EWDCNJ55jnWV6qbqn7l2YIOL8/9rHTv
uiQxD/2gvi+A/LdLqoJNHd2dOQ6nBpoqRR4aYlqJFXWNCGDufGlFsTNwevrI0ZZN09nnZkOaBWyl
sndG3yoqsePcPfcEAzlYVD4i4G43jNzRqc4bYr3yMzPvVp3GgLBDfIcablvrVLuelj1nTeKb8WUG
+Sll/SQmY2+xhYYINB6VrmzIpe4vCwsgztzSnGuQdGfAdJF6tMgxzMvxaOqXNtAhhcVc2yrRYVSr
BxIS9n2cPPVOf1d7FQMp2CFwqifbuWH+5lP3HudGf05qTK0seDdGEe2X2Vn26ZA/8wPexTLP1aEW
XMcwhc44FZ7NohofimVk/9qkZxMM96AbyZ0g/OtCjDMkU1t7rEeVCVl2JVjqZrWLl6nr+SZ4T7lV
QauOHwpiUv7dDP0mEKa//fOGfpu/lz/hU6i86Gs/j/PdtYBF/2pT/+zMf+/ndaJakbFgPLEsHV/M
H/289wsFLeJ1z6bbZyn0x1bI8NgK6Vje+Q+zLMaD/6Sf12z+pW8mfQRJmRa1DVAhnRW7Kf+57yZw
8BMcfRpc71IvWpRllrbU2/bTzmAoZayvrRh4+TPs1fbK+DQ/FNIHsWCIQMpx3pZexuMie81Q50rM
4qj30WY2TXxttZFP0vqx7Et2w+th9K5oUz8k/tzHfsDjUN8qCMWiLqFXabYqAjIXIdlUKzsFYZnV
olx00uo8SsVVJrVnNrIR+r2do5LUSbuLxFL46BfJlUC4xvbrqFMBJVLRJqS2bVDn3SzVbqWivabI
3yZ8gPvWdR6R7+2XVrxxHl5gRsktKcG0nzysm73U09VW9d7ObpBJpV0qNXdI8JvLhURshs+lr4/a
rkGgN0qlnpCavcxQWtw76PhUA7zWUOKo76rlgYnBBbFSBOVIDWAr1YA6I4HYRGtrDNGmlYpBrY2c
dYqI0EVMCF93DBqpL8TG/1QgOBzSlKq/ugTuzyasCK1NIdWJqLH3QuoVvQTxm8YcP1CFCclN6hrh
9xgBvW/hI0NnUD9fFRYEmwheEJaBL3MxunDAUEoSVHPv5sy+SSR8wc6EC1PTPnpdOWjILEU/n6dS
dxlKBeb4qcWUqsxK6jNnqdSckGwuSDcLpRSPXM+z3npeCvsCXIkPrRfJX3rAW3kjpAa0xRXVBYy7
m/hc0cuBx1iSRdEK7H8Vw9TtM685TpHl7PPONTnxx3ibuC7LD5xS3oWOw+LgZNW4xfJa7flcanVt
qjhkCab1bkLUj56fz9pE7n3FOGC0ZghKrWXmQT5M0VabqzhfAaPUz508H0Ab2u4Ot7L6+O98kwab
RcRfagJxh6GS/tJz+pV90s9/xFrL1/1+IhrED9qqtO8h7sC2/82Ek2RCRvREV6tfpX+/TThZhkub
P25Agy0B/h4m/L+pAk1Uhio4PJbOX+ei/0AV+P2mwIKTphsuvB4NgIkOEOSH+WY/oHQllUmcBvUQ
oYeZr6tu+80z4ifLlV+X7d9vClRQQCZEPgv5Ib/v94euRph8mmZdfTIEK2mpfelYQsWGXhqnWMVz
LVemU3a1VIntHmVI2CMnhJ5duao1+7FaTPpBt2u/IyWmicmgQCVoG8l6STQGAovhz3N+CsnkyiuF
7DAPCW9106vs4+ZYWy+Ncz0l3Q4CR4FXioibpNcCy2wOZFVcKm72CkTyRUE8M9T1HrHxI7h2yvkk
voz6bu3q+d6Ju2alTe0HvQ2ZIokIck4sTIekySisw1ZknOyakRpzcNI7TNyN0SHNLR8jW92TLQIS
XasP5Ge/5yQMrkJER/VcvIc1AAO3QDhVqRPWAGhvWNPOw94RgVu2WFaEzuHsqK9TVx4MUyG71ixv
Rw1tpa7ftRN3t570D1kBGDSexVtnm4fZbMtNk9ZwiycReI1jBFYSWn5YtTdtgtzeMbHtR7NxUUQs
DfvOuMohjfKMGx6V1NgsgtAVnt9I8vX+I3VIHncTvSIHoUJMYZ45ojXXNVT8VZ416c4mTnDF7CDy
pxQhU1LrWNpGFz0ngEiNLDeDywmtV7m2hFIS7Z3fQv4Fb+5mT0rTmitd1HvCc9Jj3gsNQml2IBMW
9oLWmOAvI0Jx34y02qAjAzwrdN+cGjq0vHwIFwwsYeMycIq0Q+sObdAjP1wc661O0AaJuT0bHPPN
7Yo4cNPkwy0onyOijAP4vrdRY3+YifDVJnknZlYw9kGLpMMt0CbXr6CQjnr3qqUpyV8mY2HUE/s8
IfPKHPtN4hIONhgsRc2uRzypqB56tuE0eMrdGKFRVPIex1vcytn1TTT1TQDWdfDL0FjnYKzwQzjr
RZ7Onpve6HjxgOTQEnnjQ6ZSsSez/ZGm3rNFCi7SANa4xpTBWQ/j7AK5U+tHaVL7nCt34NtuStOq
wRcYl1HuOEFcxYIv6/Q8pjnfHtHA2Rd8Ho6zPGV2yEqf5/eYlu+mJuzN2Kp3WZTTp0CAnxRJx4l6
5lfKR6+4T5hFkFahoXUMja3EFBL1glHCrkBgGQhQ689lsDDbJtzVfBoeqpLm1ooE+kE741vu5dld
BsZxby1TerINcds0Os+g+r0AXwDqOCdEof5CeBJjaYZU4JuZpmUCu2+bpA+m2aPUR57c2felt562
czyn50VFv6oo1+2QerLSyBvsAAXe2ZH0BsWZqoB4u8rvcstaMdLxI6Nm0Y5YGKsytRj8ZvwYNfem
zAo4dpXzGLvWe6JOzYpjDQbxom2KvMZsNZ9Rzr4o03Am+oQghuEpGkwcC4tx3ZbaGjjJdaUZe6Ep
1/gmAluJ7vXMfupci82OeuaJSEImTsSQXSxdv1kYcOPR/0KzltOTpkHW9dkaO4CfQT1xuha8AVM+
eMxHB+9l22Q564AlYEsi2BLRpqeuwqxWuZz79r5IvGwd6t17B3lBb6YHpXu3Br6Jo+1sDBMfkh9i
9ixWXigoYtNhVpS1Os7OvRON07ZpWt1PI1IkLLfu62NmGI9FZZJQsIAvGEsi7/KUc2uVVWaNThEj
2rafq9Z3c+oy1yjus6bbgFl5FCK/hxD1pBatcaUO1nLigdds2rx5aXRtH7fGlyl0LwmeO3o56dI4
URKctqTIJc3o+kqaJ5tiKbxbk6y3i6iIb5IoemXboPgiG/KzlkaRYrNHA1AyZzb7+KnUuYoivk2S
Kg08QzkMY/c4kNHEmNEoNqHUddT8fDhcePYQ/MUZMCi5HXRDvVwqPfhbO2VkO4PnXEct2Afu8u4h
9LohMHun2HE3u0GT94Fpj+Nu1HqxZTJF5iFaW0SJaky1hx896pnYM4KzdiL3tB21LCFl/XVnIje1
tW06ygJVCWGOsENabO2WUvux1aabyGrtPZqrR6m+XZnREh7/+rH7n+tvFakLgAebXge55Q9Pdjsf
atRszXCqXKIUtMvUvbX5qS26hfTvtADfVxFy1U6nR8SqhuTPYfkqu65v9BNdV029LjpxcsN1mN03
8yZW/mad/3dvIf/8m7cAN5DnYsjFqebGBH6zisdns77568/sp2/i0Wg61Faknf/wJl2cZVNaCnEy
2tumOp8UkBz7v36L/7wsUi/5x1tIicg3v0fPBDcC1SpOpntTNJsFuCpVSOm8pPPfvBNL8G9a3d8u
yjfvJH+Sb94pj0ersHt+mWZeVlrJqko/DAWDEwTdoKaXv9Gc/Ke2RXNRdIKpUw0DgoX8cb55ux5U
9tL2mqADetR6WLT2bRSfzcW/vcavoxcNieqfj172Rf3eJi/5T3oNXve119BoKKSAyvttwsJ9+HX6
otm/wEvXHA6Dz/itPxxIBg2KYTgqxT8vxLjESfHVgaRDGwUQglaXLoFdyz9SU6DO+O4rSSwH6SGW
jv+JU0m2HT+cE9DtwQwqzXwxGWz4N1oGKAX2JcrWD3VZSotSC8wTT3eDbeyyq+wsEzD4p5QTzMad
E+rMSF3irHatNjozrl39LSKs1Cer4wUZ7U0WZsVpzpBSNoutbwwLIDCNVHdR2fZHXLs8cQu94G6Q
GvVhACLREaXU4z4AX6xZ5wtzyr1SwhleoZMrZ3+yUUykadQea9AsPE28c/bW2ZlnJ2XQ1WLeINyt
V32TYXZEouqjiGUTj2rkaI7zIbOSc7fqw7MiybNNpnhMVBkukQyp23iTIaltJo8kB6PnMdxQ4/la
5tRBM/FEbNwBxaSpPOWc3rU9lQcnHm41O1YpdpiPM4ev/ciblWOb2m+i5EHfVI62xR7zsaTpM8P2
roD8pRV7EUL1qM10vmPHFLIUji8iIB77IU7f+2jRnyh72b+jCNmMdt4ETpeT3sX0AEyGV3pnoxJq
a1uoysGsJ/XcQiy9TVDLrqJ2sM9bxwG+GqU3dEJ7Ec+3pKyXq8rEkaO61ZVjsyxE4QuWQzVtylO6
uCVj72GqghkVUNVzLR6kuaSNraexJuYxVI0MB8us9Vt8wzNl8tK2dnsZc+1GLO3JxUywKbKKiPSB
Bo6FKkiL9RTQF3iJUHswObH2dT/rt4o+5MkeY89yaMfSu0zGGQJdtbgsJCBGGeGlx26C3QBWk1Hz
snMdmYYWFcuNibdqCj5v2n+VYBq38p+fXmdJGXU/Obp40e9HF/gjx7QAGGs2Wgd5NHw9ukgiJNWD
oa3pkDokH8pfdWD2L3DeXddx8OnZn/Di308ukMcSdezoHIWkqDv/aG7syGLpjwkGY2Nsnfx7MBZh
SiBT+3GCERo9cmQyVkj9Mto75FCgf/xyLrQghq/jrFzGnQlW58x4hBk/Md4V+ZWqGIAQDIKI22Tq
E793VIJRZtfumn1RtcQ1OKOBxc3qoBB3XXjARMOiscqrJbuqEHzVCL9sLX6ehN7TghnH2S6bwJQq
scWZUOw08Ss+Nix0UkvGAR8TJKf4EzIzhg6ZX+jZjPOwu4m18LH+FKUBCGTfnn+K1TLiuPxCKtiw
kaFfIdPMmWy/Gua+vDCVGR90nIISS8INQCSBiwqvQViO9atO7FmERd/v7SL0tbrcdBO9dFWkuyZV
dgk4JrJuwbQbbbrNiYoN2I7eJZHypl/U5XxRmVlAUCwfT77QEuXhrda4V0Wlrr2ZvKHlSuvtOzF2
D2T9rE2UEd7/TULo/0PAOLfHn9+I5y/Z+0/uQ17z9T7U4RMzwWOF47Iq+XQq/34fGvibTW4orC6/
JYJ+vRFxKjOkVB0o9DDKPu/RryWE+4stAxkcgKEy7QsZ5z8YVxIa9uOdKM8A7kaX4Sxu1x+lzTw8
QVk3pXWZjXl0RlhME95MUwYS19YJqBEmwJLZwT0CECkAAJLvzZbhjjUo1i4LmUcVs04RLFQexWkO
jlEa3laYs5nRoS9wLYZ1IsXSR37RQfFS0KEL8v8pVzfEKvPEQ0fnLe67lY40lzNiTkzAC2uHODor
wRGRZ7BRPvlEklSEwYRnD+yiXFKMOskzEuzzcwBHC0MJoUfXjSQfqZKBBOFixMzW7vpFO3qd9462
E9CZe0mY6J4e7wZ54FYBq6RIvlIZVmcNwKVWkpcAiT3mWOFckEwFaCai4KcVFVi8MiW3SQPghIJl
b7j1OlXDJ2RIL4MkPc0j6X1ZD/0JwSdMJYBQhiRDtS1SAAdYVCOpUVmrs6bJjw2rd7QO0UUDYKoF
NNUv5UcvyVNeT+RpJQRJkPWB0BbHLyoYHeCqyG1i7Qy/ylsILczY3Ts1bCvDmQ8LsCu3ja9mSb+K
+3Q/SB5WI8lY3swxKFlZtaRmpeCzdNE8ZeC0QEZVvmW0yyaa8RJGdfxGKmHrz1hCg1KbtzZgrlwS
ukB0HkvJ7BKS3gUJ4b4OY5OohI9B8r3sDNIX1QMVmUVevKN9KJIGxpz8spF8sEWSwkanuXUlO0wB
IpYBE8uxsngjfmtzrPxU8sasqMxWk2SQzeVycIGSOZJOlkpOGfOIJxNwGRrZ50ldrhrGDlQVT6JG
NtWCOsOthURRZN4aP9GxcOZd1sFFaz8JaaDSJslMUzSLAqWONik4tVly1VC8bxxAazOuBqy5LUor
gNfd60iDdj5ZFgVTIRdAPcP4PBByLcTvj150lrsiwhfZG40sQJ1V7zooR4ka4krpDiO2JuTFmfzE
Sa0HqRYi0Wf7sfEUxEP4vcHooW2Od/OoXi7cDFezmzrbTHHFVc18jchX/WAYqeEjr1kZDa9Zklq5
TKOIDKNJrdYG37ZVazUGpCBtZp9lJNOeeaNFOEiVHFx3WrbOaIk1MqeeAT5KUHUcNwItlKtGl8jX
GJfo2oVBAusKstQVK10y3fL02Nh1stK1B+Fa801LTvdTCfhppTewRA1KOS1s67Xb84VsbSNDURKt
RrPnQVXWxJTCkYFwgpG70MFxOCWGI00M4xHZJW6gyls5ynyR6Wj+PCalAzU0FmFGiHrSvbaDstVQ
Aq9GIlVKG7evabkHxTWsgxblblDVKVQ1RvrPusNYGx22IM9qtFemfFCWsYMaDKTSRiH321/6RX1r
NP0xLYpw44FPWYtWuNtywVOVZbm1rQo4pB1kKkIGmmql6fL6hnaxWszwrPHibS7EMeGOAow8HFKv
vYoFv7WqWMT/Vmca+fFJAX2x8lCJpEt7QUPv+lOMss9wB64QEV4ouDYI2OdNURZXsZWYQSulochp
z9xoiFaiVreJlT0hItoOSnezZOOIn6VlxYKFibjxi25o2Y0PGK8R4G3Dut7ZQ/cRGWEcWDw8gloB
eawx4dQv3Km4Lbo0P/fi8VTyidI9JN66qKyWGkeFKNE/UPpg1auBTbjvU6VrzI2LQ5+JaR1p0xbQ
/a+zoH9LdeN/2Tuz7biNpOu+yvcC8AIS8+VfBdRcLM6UeINFiiTmeUw8/b8htdySPPTyvW/adtsk
RRLIyIg4Zx82kH99Q7h7+dKQcFB0f2LcWD7y93vCwiKHJfJ7zf/hvo4GBCEHDoz/3Ab+e2GHU65j
fGLpyF8Q71Hd/3tP+MYk1U2CvR1kIv/kniAWycjPN3aaAjCn4FPIbmKS98s4itVM0c7lNF4mivza
6ONqow9R4i9bityeuk2rpKieUK8Pn8ckP1acu1uLeQSoXQg+gQQijJtCuw1Dy1ccM0dTVABdxGZx
VLv5xQzEfOX2HQynuvXtJF22+sGd3ivWuRiATsiBEXiFAeGKwamfhNFjh79iRD63iV3nAEzsYDTa
RzrJxzHKEVOn1J0GPIrYubgsVm4CGQJmWUUWJ1OMWeqZN6lGS8tPqB3SlvfENh5GS3lOB+V9HCLa
djSe62mU2ELK/K3O8YWmqoJDcugR0gMJGpdxyuBarzLiAo4ZT1tn9kCCcN/FXi/Lxygvb4QV+laJ
9suWrDfrvhsYkG/7ED/kHi7lLYq0M9qY95mBgyyuLa0aUTWmV4Q8b1jyPOW1DsAt+BIV5v0AvxIA
2IcMgcfGmbhxGilJq0QcNoTtQ6l0AvpLB78yizICTrMJ6yZkhcZCJYku3WMVauxaR03WesY2jRQE
G9YKUYZ5jCG2DRLXB4oAkw88dopHc5Ur+rbvleTWxPfqTSKjPkpWNlqMtdYsFf3MVgUkQzmyc0Oj
fJiVhp33lK0MpVS3/dTu0QXEOGspesaCUu6/UpUL4H3hWbRz/pS0puIy7akrfnwEIk+6BXuW/scv
TOeDBe9uioZL1C1+5rzt7HMXdK373Jhz/JZnJW5wV8tc+iot2Jgtwx1bJZAdVkW/DoUsNpUx4qCb
RfzgjM5j08UTekD3OQWFh0IEXetoJMJTqp6qL517txjRYZsIP4J+myGkZjimPSg98IUeXbs/BXOx
HcYivCXQumbLJIpLu2iAVX6WOnqdifCNe54ATM2Gza2mzqbrQpasvvuxYk86vLZcHo82xW9tJdE7
YNsJtSu1OyYzVHFKGCJqj2ZFQQVru12/a/qg2YnGyu5qq84uQ2kX96mQMG/AXEH3AlztdF7XWcpq
7ucO049J8hn3qD5QECHofUnOrryMnRus6bdRaKal65uxGI8dA0uiHwPr0EmEf0G1riMw3dJgHcpy
CH8K6aWhgQJTTIayVxR3fOY6M6K+rQMvdroCZGuZfkl1s91l/chFr3aI2YoAhM2d4zedO1Pr5gqF
uEnlHHUtOEWh7pydQUI0tDHJZwouVUD1HiawZjOpzuR1aGDPijNTl5lqrlJzmv1/R0ffRDYsJv66
Hp3K9v/+XxG+Z+9/NkDiQ78XpCUZi5pDfycYHPzkJMRkCOnaMY1vYNJFgvO9cTV+oxZRx1hd0FIu
3envBQlSN7oYzIko7GF2E3j4DxpXOuqfyhGAL3URwZDu49Kqqcu//2E7koDkccbCTa763J9NG87g
1qiffvjBXH8bR/0djGJpsiGfmuCVNdNgzm/+svKpAdSRf2UmV12ZxJlXOiqQTBdl3zqABOonegsw
m6YBGoZTIJGPknU2B8eBvu5WraKbLHa2wozi06iqNKWaYq412NKrTIvVtRoS4yPyfT9E53hwd1Wv
ndR5vGmlONdzeZwa/ULe10FNUrbFAzK3RK3djb0QmDBYS2jQ7hukAMBfac6/7IBPoEr7iMniwudn
oUPkBHNdmgy5mmyOWIkZ0TqMypxvg3GyvU4BuZi4AupAP5dItruCjYEwHgPdtbd2ZurPIscLqbCi
2sZqGll+1NdV5peyTp9K8A8o+jHt7UIX781e0xFUc2V3rizZSu6Q2IfQ9zkRlCe90p3HWdSAJGuR
bRtltsytVo7sxteVxr2jXvdm3kkSTSZTuQDgUM58/soj42CVLoKBcsmg5RrrWRyGWJoIQWtsJ97p
mZEe+qm2nGu+Xqs/mzKE1yRkSUAsspzb0m7M6TrSEHzWoXSPbmPZB0Ql4Wf2O8bTYIPddDLJgLor
emPvlPSla25A47xzCKmEVTm27kNZOpg8SRTz8R4anqimCDA1psQ6DOV+EObA7aWHac7P/ISVpn1p
mWBMErG1nByxcut4r6Du8G0NYypBtuMtCqFDAkDVd0vNvQ2lCUAgwdHnSDfalFWOEyA1PBCKpL3F
T05uDid+dYNn1cSQNx0TylbQME3ZFB+suY98m15s23WZti7cwLhqowFzgqzbraUPu9Eo0LJMor3h
RNcIXczPIJ/PeHsIjmriG6M090RYET5iZTvwLakX6up16453nWYPDygcnA9kVQxdUs8aJ+ujjHvP
zOHLB7V2ryr9JrS6jSLK1HcVsrsdWqGJlrC1qre27d6LuHmXiXxknsllYDi4U77hAGGdNG/JfjhL
Z/AIHd4RqneaUQ2FzfCqmj2zEWWTkfKgQ4VrevkF1SdRjl8Ctde80cp0gi25Wqbm8Nm04tdstgzf
atP2QFsMlmmcT3B793oozhbMYdBsnyt+fW3H7a9wbJ8knU0onF2vzsQ3t36YB0D81HoFqB7hVVuo
e0TNiadJuizbvuZ7vDXJmvCmeA4ZggTYgwY1PhPfjCEiEDddRuEinesYiomHGa9fVk8UsMDmKcvl
0eUlUktAX27jTRgSnUo/GVP5BP19nZr2XS/Cm6KuTjb/PAj3lPfDTeQyghGVLwIcuWE4AfkgISeJ
oOL3TVmuw0a9SpX0uUy154p87LhNj2XmHJJeu5lHzcvwUpVZdiZUel1ntTzOtk08KQMqB2dgndq7
3jU9t6Hdjwi3kfN4cMpZ7uuZABO8rQRBBzbcuSLzZAhK05z0dFu71TZoEerMUqk3f3/y/slmU3Pw
m39VbLIH5K8/n++R1PJWAj27KutU+KRxAPkdoEoDpslOXa6Pnk26V1hGOZve+V2r6vamrlP13pkd
8lym6bZvkpM6BV7q2k/q1AHKsz6KNAkJlEcvFiaYXRlbbcqZZzoLoKsFZrseQcHRsAzCs51uhxvn
FYdyv46T9lGwbfXRrehrjah12FrrsV63016rUsY+QbHVkmYrjAFeCeEDuf0ms/wO+eKhx6k2t9mh
7pENV+XJaQWw4lFivpDxTkyRuYaVQnw6Lo4I6nVIXfJatb01ZK+tq8g6qJHLe006IlJGDUlTMz0k
MWlwrsVcTUhxMWJYM7VlsV+N0/NQzVdRm+zT0dya6KxoFGpysFOS6x0cgbkTbhQM5GZYnbIQU6Bd
iEucjUeQnTvqGorGCpNtKVtSuJtLmmS3iFSY7dCGeRbEyLVekX/aNNcxt10vn5nENk3yYEAGxyEe
v7g4f2Pu1cyuKij88yZN68UUudWqHFqb9jnJJSEWFtJyYzdyDult+Va69kmtsTGFrvIWaDAfK3Kl
mHAAt8xyba9Uy1nWnWLb+iRUeI0qYElsW59lLjTSD2TqA+S86LOpeRgPFs974uzwVfaPJYSgIyuU
5pyVY/4/VCG/9sVcESwkZ3AVsNk6kEd/flCZ9oxTQ2bEVdDHnp4cGoDof/8y/Lwr41MCg9QY0NM+
Lts57ZddmW6xyHfcMLzKLPi51iXu411c3TYjTPSGgAkw7G7y7XL8l2AVdg0/XbD++FWX7/uHC1Zf
pV1l6IpyVmVxhwaBLQB/Q1X8ROCxXMGvTtadYz5Zgb4fSMKDcIXCPyvGxdwZl+uimT+Vin2KO8Dx
KEY3mTtqr05k2F6uJg+Wk49emMqjnRmfrSCdDlqmWz1PU1H6/WwXvlMpgOYr9Gx2IeW+n2z9tSwg
7rAd0P04jr9kPKt+rVqRxwksPdCX6nro3bveyGYmqOkDI0Gxz0NE0bJ7Y9q2oyjdt02zsdoRUpIJ
lluNFCb43FCysSi2cu7VdY1J1mtGE8d5PN2KqEAZEA+oCUJrhWXryEP/Ubcj/Moq3jcGTKHRuJ9m
xJVqejA7vFrN4kmIA2K+kg6kmNWb+3ROjozcvUIGwtMzFalkkHLKqk+DylghTvKzA4q+aEZ/CGae
YNVPuzBfQynzyiR3QEEmoLyz4FzhXcfhsNNKi1DDcLqL6CFXuF5oOUE06HoHqN/utuBaEWb05YsV
1udGzW9q4l+bburoqA6Dib1tMHXQyw4nIv1tIWmzA9zVQ9NfVRY1Eh7EvmmMd4fGFsYgemrT2IaV
cbLH/wBd/vpx+1/POB3Fj0/bCMh3ENhjzsmpuA6vlE19rB/Beu2BmZ0cSs/6ixhXTH/PUNSPf/9+
LUkKP/QS3x911r1sygVhQMsf7odHnfxXh3QOQzlXHjzPk1hXG7pv7ag82RsoNw8XZX16GnwgTsML
/5NdyZO6OsSb4EqHb/M//jQ/Nzbf/jA6+CamdhZt1K/oJKmOLA+0JLqK1GssUGAUnpph9/ff8c9n
1h+/xi8wv7nJeyWKCKss6/ewAYx28/ef/0+/B5tlos3ckWncL7/NfLJmths1xVu5rkGsNSZ3zm8n
1L/j5MUy8tft+/kFT8GfbJz5oO+N+9eNM9IPihLtOxurHybJbJwFXj0mLewIUYX8t3GHGwTbiT4f
UcZ/9tTfJ8n2b4udxaCjpwIZNMP/pHFnffzT64b2A3WJi/hNoE5xNT7hz6+bw2wAVoA6X/Q8eqx1
8vAySgs2WVC72kwOX21tNQzyplQoKu4jAmFWVj0q9Ny17hPHOOtlt8+TxEfsHLSebcN98WNuww9Z
6Wp+KdSbUCEkshvjEFAFyOdXxpY5fnCNkfXRDgZYjmahMpHK7GTXdtyqc0KpblQWV7iUrbsxXc5W
0CuuiT1+KnSvimYoeFN5L6XyiLr5QS/NfqUKNjtqM+4tRV6i2DlouENgeXxpIAKZaTGuwkS9rRJx
7TrKoxjawos61sRBt9zSmGf2QfEhG1KFIqFtiMQLPdFQ3UwxXbpGe6mzZPLMQQevVUZv9ZjPXqfS
criT44dqBwugJEYytS07qLCuy/04lcqaFd9R6+2LnhIapkXHubfXqhbZrCgjehoxHJuheopU97PC
fJLeV78heNTvTBTo8cw2L5kfumbcDL1WXWnB6OdV+SFUjdIQ37pAsOnx81MV5nstl49p2x+VcvhQ
G1N6qiLtNcsK8gDBoa8UJe1Wepbu6lZhnhhZa/zhwgsEFcXk2L0IWcn1zDRhPXQjEn5yQ7vFRVkm
NMk5lGffSdN5XZAKxarA/hLJ8FDobKW7AGclcKV14Yi9a+m7vm8uQYYoTucucEYYWVfw/6w+33Ym
NpMV/IW93jXrtjXP3YS6UC+FWEMH3xhq8JqiJk+zCYBPPwGJnl5Ci+QVPifxdUus8WJ/idgvRrry
ojYYu5oB2I6W0gygK0AgyTiTH6zvqGB8RB9Zp2zUcXAUzV1E1OGV6HL2hCJkGmC7iTc3/Q78LgN3
KzP8bLA9J8+1LXfrbpPx/F/1DI5sxdgrdfvIQG2n9uJxHDptHUat6nWt0Kg9IjlVBeLO0CUZPTJR
IAcDDKJiAjuBuWkJctbUq2rSxQ2GI3sXpwN4+Yr7SnjIU7j0Uy1eKEMmG2kZX2wdlJtrGhvp5Ju+
a0eaXqIRzLF4lW25EUP8qQzxyrpYLMKI32eSyexigH5nkL794VD7k9HbLxVkif/jtGFfoiM5W6aG
P58RlT5hjVVc7ZLlD6nxBqfyf17c/+RLuK6NCE7ljIQ38kuRklU4tUlsEdrXvvbptazuC/f09bv4
t0YZ/LD+ukbdvRTdy/+tm37+Y6FaPvL3QqUtKifkT9QDwtOX8KnfpVGopghTX6avtDwWasPfJ8z2
bwJ1IrIRGwQhOsIfVp4WXnnVZBzMwNDA3f6PJswkZv1aqL4a2ylGqKyXCKxfCpVLQ26FjlNdiiku
N5q0ICwKlmDZVDzFje4ALWuWdFbO8Sy10dSa3b42tY+hVOFd5Pl4GDNOiTyCotSp/S4sQ9/k58F2
DxRLWfSk94AJT+zkdQzwKGsDJsChYKeUdUPh27nJzbeS7nVU5w9m4zSreiTPFaPPSabyIQwRCanx
U5Do93keFxdyX5U1ocQj9BybaCbIroc8i54CA7R/irLDSfERTL14x0HKuE4o431Ruzv0ZsekIixQ
ncg/bickVKx5yyrbZ0p9NWBxDAlmMdUWOKs5nXJ7OdRQEjSyJIEHglvY6WTMudE6CNsvkkUiW6Nw
wNcmm7UeB9swru/YIG2iyUDaZDCdbpp4P2T2s7aUJcx0V0O4cPbncB9M9Ddg0HdRGWvelPYR0UPL
bnW+DYBn7ExF40fTx8MxiynJuRleuVV8wP5I/ESW+XOnvCVJ5q7iuiYEoIy34zzGpGRiiFcGLHQa
mKfFcLbpM+daDwscYZyrXARQnXf6bVLZrC/fhFN+4PH2kW5OfKqFdqK1L1EP1bgNsGsZdkd8LowZ
fZGioJtHZTqwv80MJjmy3Tmle4vttbyuc+1cT8nkq7VW+bFZtp7gGd7OQtwbMwbKdHA9RzEfkHG6
h3pIdqnNyMaqgyu1rYa1E6Qb1hDHtuyux6D0ugwQ/FhsyolUZZg2T67RGttiEu46WIyZboYJJrbP
spafRJlvjAJfzyirfa4Pt0OroMKZx3e+8uRPevaOIEu7sN0maUiT1wxs2TWn0dntleCE+OYVXhzT
rUYT+zgsrOdIyW2/thkX+rIglVedN2YKK6mBlnMVDop9qMKyvSHfGGW5LcMOzVKFgNy0nDenckYa
T31FDiqWPJIqIR9Lk1GeHjSfXbjHa0MSTowu2K9Jhqj6dNeMOHF7kx+xQyabkkfzg16VSN2FHBlD
2XcUy2Onyfclr9LTUvM2I+DxaIESY1J+tdgbNDcpfMJWCSVuo7dkrtx9V9pv08IP05255X7ltrgL
25sORy4v4jnARuHZzVgdWB2wGLeVFTFMfljO+GNDp1+RZsZHTAMIojGUm0QLPrIK8F8jMbvlnXoZ
or5cWz1auWDOjrUoVH9WrZoQxtlToMhASTqMiWg96EyfE/hg0LO67hThez3rY2O+k1GW3pcqxTob
HKksjC5cbf9Wp68L0GWW9dfVaemgqvLPIoeXj/temzQ4KYsUh9qEjB6Q8g+1Cfk84IFvzRVOwB9L
E3p2DVaqg0Lm64bz9+Wn/ZvmACdjVwmNxRbWPypNXyEHP4wsKHIUQAaDFCadTSz3l5/vR0mjpMKe
RXTJVTRq50hAzZg0NXJgDxVFeF0qo3mY+9p6tiJjpMVXCoSZsMegUc92++hGRnnnurE5L+qAEXxQ
YXdPrU5UcL/gKn0rSpAFxsrjJLgaTyGPfiZEuhaTde04xbYnYrsfsKRl8mUM5xcRETfOuMxqHXJu
LHUrsjzmeo8ETkstfxqgASjNgVkVbp4W0SPrHaQ3qnxJ64bhGoq8FauPBbIEVEQyxF+TCLXgkaYF
kUcCSu/ujbBpVsOINTq3bo3BvM3BuHupzqw9mK5mpwk9d6BrKuq7ShfPkYNasSTmZ1MUSQ9kbwYt
G7vEtw0lp7Rh3iaWfSIt+ZPIMRNZRXbC9Hzso7Rf1YGA0tfaHDVNiKBzrJx1Nae3Q109kL1YnfWG
1x9Cp0b4DLraBmQAxMNFipmheu101oNTEWYnzla8BdUn2GbDutWA7vdq8z63jaQkL5Edbb/LYN+r
br7TUhQdtp1syJJZY9Um2lYIgo0RIkcJPwPyO8Z1ODjmLi74O4OE9VXhlo9FlL7ZLngHA2N+lX3R
0ujeKkGZdl1inKCj7pGM3sTVAtgxbcp0XgarEKdRyOafDse4jSzr3mjwFTFZfLPK4og86raSDosr
FahnUdjgFYcyobBPxyLW1p06otkti20WK+yjjB4qJ0l4aEgfE6tlT2CN8UabYt+qujtYkUCiR3rU
SHU2Rm0PV/3CPrRl63SIc/ddahF6n5sTeSv9zTzQaZl6dFXg74bjBbozkf1DI5PXYBiZCEZNvzIN
dQMG6ImL5SebvCxBu0weNkuH5Y+hDreKdDZ1MF+yFIptLDZucM3DWl5BCjtlbno9S+s5ttx8U2Cc
3jRTjE/dTbu9WklEMTx2mpmcSlHSmjX8wRXnSbEjIg5MbhMauaZrpVmM9emVWeUXYLNHeB3XQ+vU
pCCgZw5tY6Po9TOMG2Cv4iEn1ZC4YArkYF1kDB8TXetRcVliDTWjjaC9R/j7Ct3z3Fj9uwjye6RO
ey7Jp2QAs69CsCQZ0SXnp+T3ECT5W6aNvGJziFtmytB/FtaFb95adWP0qW4Q4GtqfhGBds3gdlO7
6auikIpMJsbKjpCJ5np+vdhnT4XOUCTviqfIYlhHUydWilpkRwXL89pcWG4B9oW1necvYxAQaCWz
G60NPmXAS9c6Q3i2AcbOdeZTVnTnXuM63BMMZuUvzDqgB/JFR3GTEB+WBXDkwKG1XGIMePp6hYsP
+si5Z/IErs8pNjItPEMQ7spBu5JmdEATqB9j5HY3LciG9jAN2rKiLIBZCp0kDrdmZ5w4T33OVS4s
c1LCa/Z1mzpTuy1LRHZSRVl61WSI60kaByaT2lXEi7Xmd27iFKZvNoeGX05nT09zja4LvVd2TIzE
3Hb8CPwxU7Kdhlx5hcnSJtWT8C91NVhdtOsUEpcIbeJLy0rVNkoSpP+W6W8GXUFT9zdl+r358v72
xwZy+ajvRRojG1dl5h//7RJ/byC134RB7YZMiE/mawrgd4kSuiYKqr2YxplDfp2Pfp90Wr9hXtVt
CqvO27qY5v6BRIkowD80kDjsBFp/RhiCevJLldYVMQLiSNOLphpdc4DfXJFjN+SGAjoqtRmsfSVA
9nVS32h26vWogRjO76b9Xg2IPwY9G7FnSkBJRgtTsgIuCTGgOaoTvKtPARZxnlpkfhL50hrQ2oVJ
VOKZCWnIlTDZDeJ3A599mZRsWLm2eCFZE5Zpkx4rdb4uLPJG7KB5BHK7haMwb3pnepzV8c2iCSLk
gE+gz9UunExmgQ4hcq17gy+dBrcRfp7kHDUaHNdq7FJSa/JrotkoA6pEyTBpF3SMNwTyLCxUJOeh
RbDt1Di7wULXn6fjLrDEZ6NCbzCWsidIjFFqWdaDzwgq2VV6ji4GgQ/HXWD5eR196tO68woTUnWI
LRkII++bvrx5/deXcFzeR4ZtvJr119cUzyq6p+XdjSKVyIvlfW6XNxu7U3hrL2+7tbz35XICYLcz
L/FyKoQa54PkoKiXEwNuGs7g5RSxapZqMFTaTfT1kBmW80Zw8ATLCVQsZxFeEnbUy/nEhJGjKllO
rWA5v5yqoQHJXdmG/BmKOj4YtmJpezdFNr0RcMbBiKTaq1brhofcdmXXSXKOhh4FJybrjnllhPli
4VpsVDO/MTAhkHEiiZxFKvyelf1T3aanUlVDD1byNutS4k1M89y4yrlFlAOoKfbMKrudouJQieaz
UNJTMiKuqkV+r8O99mFGfzGqGuK1fUX+Wt/hIbLTazORsfAxMekYaswomc94S4uVSsZhWuFY1I0h
2Kcy2vc5OFqINgWaL+H4+Rx+macRgyOJZYBrSAMvl0pqugWNXmN+AdDfLGU8BXjatZ4eTX6vdWRe
M9qYusnDNGl6TJETcFQYSrCFXWEsB4SsmuUOoxoxQZgZp5j/EsfOKtJc35YVrE4Vt3RmQhZ0ZmOA
cBMPnjqpV7Y5slRtIFDLCn2QqnZHi/CQNfNh4cdZq6zUXDxbkwatTpZ3YJvilSsxQgdFa9MBovyL
F2uWarir1rbf8yB8y0ouqrxd6y6RCDOU5Lo3mfrLQfgacmAwnTL3S61JUJCP7sbh0Vc1A2KL2nQ4
3cyOC4tCYzmyAbbL9FC0XXn/b5v3tc1bsi3+un7cldysX/5YP5aP+r1+LN7Mv9yUmVQBfBesxLBl
/NDlOUwZqS2uYWsGM+rlE36vH85vIBmwYTD0Zp6Jb/Of1A/DWfaw/3VJM8vkUbJxiDog63QUJr8o
P9ICNksKCfoidLOJ4IXPzNNQSXxpEg5MA72nmgfpTglImE809zHo8FwFDc4FPNyvXZ7d2fnoYmYW
Xt91aHaq+LVX1H071KdUScJ1Q9ol060BzR8QrlTXnnnqOaFgzxzzut5jDiPNPb7onbLPI/fcoiTV
mtZlb5XU60Eiz0aHuyvixJ9HTF6ksHajVa5LZb5O0WmuQbvdCr377DJEWbMQu4FOoK1KxApKFDcg
09mnYw/ZhIF1BBSXxfJ5DBeijpnctg0rngY4mZabx1wlHyJBeC8hLp/VymDdRsw8L9NxNiuGlP3R
aYO3ykXpI6xnEkXSG8hm8MmK4DxCOKL9Uz4zWvFbR2gvjC4X94bj0Yg9Qvx8C21EFGOl1wSEZA+T
rbwRYcQ3gq9gWe7ILCSVi+8hUNMz4U8vbVK2myGgtxglFORI1Oa2oNEKSO6iI8wfZBVc2n58BhmD
gNXGRujU285AOebmOaYRR9s4FIM6wHkrON4WuWk/aupazi4tlLvpRxO2TLRVO4fG0UluCgjp66EA
Vt3OpxEPh09H9SmOTEjeok4wekAKavEgpmn3yZzHI06aZkWI+UfpNGf2tOEpSpmWkhrhFR3J6y1H
vNaJXRtw7W/r8F5kDe1PFK/B8buH0eLuK6zorQjtuzCQW9SuEx6y/MAOT1v1uvI+4R+b8ZFZ+Mn4
/3bFYjAzBsdhCYvpLEq6a4jO2NDwo1knwlbgs9m5Z/E+eaTYRp6Ngy3X6l2Co80a6oi0B0xu/Idn
ra/9qgRjoS5GuAFHHCTWbYJDzpDaFsI1/iDHPH7NV+jK0qBHzW/6xWBHIdwYi+UOQrQvIyYQDFGc
dYovD3waqtTFqifw7Am8eymtUeYucRN4E4x0PCSLzS9q5FWD70/F/9cx1l/BcbPlFzLymifyE3Qv
Cl00OTTK9q1Y0mrRdja5cqNWbn1Lsmeebel9N52uwigBJ9CL4CMNp/fAJJAw4l5VqLV9sIvpEXL7
a5ci46tKyB6hu1Wi9EZj9O7QDq+xqdC42Mxo7AEVn0oYn9ldaUie+eYqBrGMJvUp2ZXdZPhMYEa8
FDYjHWL41sh/vK6cNrolXyjIXg3BzgkcX3XlA79otJ8JcMdYORV1tI1SZc8kASU5K8Yk81wl2KHS
Q8VLWO/kQEI3ZqJZuietbmhnJXtqwI8DUkLQMsnJjtngdikq58nejq61yqucX8hjB61ATj33ypHl
c7+PFSL6UnTIEt1wFLuf2OKnbAOi01ARnzjXsbuZcovtcVrs3Fq90jv3SzvCPSEDT04A8lMDTHwl
zziJ9mOz6G/IzkFZNfK7XVI3+l3fNl/6Zrgwy/baxLhX4xBim2ygzNoYRM3CN1LeQtWhT5w0d4O9
5M7sg/eascXKHfJ954bOurWHnRba01qpzZ1Bpxyo83CMEDUmMWsZB0FYZPTn0S6O3J7hMJIQb4TO
54zVdwcVlkUB+xF169r9dWwNT6qo9oExbYAF2j6SSs6/qVBWlVXe6r3breO5uRgqWvEw2RHKvFz1
rwJrhpq13NC6JRLnANiTW6i5YA2lN89iY1mNryvanpjpAVpwMXMK68Dau6NazEuoIABBhsd1pb5m
QStWneif9Zgby4jlgdFCeE2g16oKwxttdk6uIwl9nJV4YyEAVtEzY+riOlWFiU+kgIuI2oSDEU3X
eqZs0kxeC9f5IPZ3U+To9K3Ob3F2bxBaIo0FHSO76rqznYcp7sk+NE3CG3MT5mAisk8pueleWA0f
CeqBaFIfs77Yk21zilxidUEV3vaz8ETcfJih9PtFiIAyGQzn/JBqYmnY00dOYL8lgadRgpK4JtQM
VvM01dNxXGQObZ/bbAgcxlLRUaCEiCbzEqKMwKHMMY5WIqjZDKy0oJbGzmrb9JHM45ElglLQx8+I
KxxUFpkK7MbExwA6ZPYmVBjGVznGUE5ey8jJneeLtkg2uC6EXoiKY1rkHIFef9jdkK5Zlp9xgnFc
ygnxRxk/lahBEKPcGos8ZCiN1YRexHQEK0L3QMtyaa1pPy/CksbWmO+hNZnQnBC3cJ/F4EvHRY2S
xWxE5HgZFqGKMTt38yJdyRYRS7PIWcxF2GJ8lbh8VbvkX5UvP9yn/mRH/8f2Fg4MUiHURMy2cbP/
sh9ta2RDkhTXi3aXrz7RI17Xa5qctftyfwsh6hD75brbxSdzO3rRDnEzvv0dXc03rcC/W3bjb/cY
37bsq5fm9aX5s3vuz8sMfj24tQzuk7D4uEf+PidRf2O7rrJ/504LZp4r6Pc5ifkb+EHGJ2znnf8Y
wL7fcyGcWVhLHCA+xje+/D+Yk/ysRmSX4TLDYV/CWgSRs6X/csvVI00ZO5kbV1H+PLdX0/T5759T
4+s25L/36OUr2AIbG8o1qPdcfZd79g8Czz5ojS4wp/6qn01fiOpDVsZVFuBpbboPlptY8ZvYyw2M
srz9e4FSuKkTv7eJkbAUq9yWo74t7GantOp90kcbo63eFExcuDhOvYmfssU4v5qj7KIN5Mie9KGr
ocfmbTmuJsJlQn6ITFJxEG/0Us5sClRzz3sffIwmGz+EcBbtbmx7hhFnbxikgIhgPPWNFrRZo4bK
pyQDVuymxpc+wjfTcXavjTSqj4BKOPw052JXtuJnTvPJbULdR/zHAtUwRla6I/tpUXYbDWr0SjYF
2cjxcyrECVU349P8/7N3Hst1I8G2/ZUXd44O2AIwuBMAxxtS9OQEQUoUvPf4+regbnVLlERFx532
WEEdV6jKytx77ek40ILepnmxzfN29mq/uvGNdEPhjyYZzAQkuSdJHgwHzuLnLJEu2pFSoclmGka6
xTbeXpsx+RVyudPI2sUivc3Lbt9CY4YTM30YE6woM6CMYK49GO176pZnX2FW0rJLoff3uiR6bhs/
416tc0RbW+hnF9LMn+dsHcxImySgEWxus8o46nllIMToTyktF8HWW5fAaiam/YVO6RzN7Rag/GXt
o+BqZmIDI1KEOEOhXMZ7XdJvMEgljjoDzNBm/TrS8sINmzFcdVa0m2DfOkYM6NaPxQaWMeiEJfZY
BzQj1y6/BSbyvO3XITibkfuYrff3eqGRmmWcRQOqtp0vkoiJSubnNG+yjan3JxAOu2IadgF27pDQ
FTpBA5Pd4YiL7Voo5KK2cXqP5fVO8U0k9d26qMXemo21NNZPQm9LBx/tRtKax4IPr07ZuJGm+VPC
pG5ioFP7iEqS8VjiX2EGg3OJSTr/qcWhr5vMeoT5xFOwjqP4MfCXNg2ix7XUdSyb6vNUxFtrSRTU
yqeulh8lSb5uTFpeiR97KDBd2Uhf5sT/kGRIO5DgHZO4TgidI/JEl8ybcLbdiugpN4iCmCtp9mIr
dGckMgRWFvhocBTgtqNIMPwumX4b4jq29YeubDCiqLRuuOXy9MTDtazEB6kj5Eet0MobFUZGSTGu
RouBYTdBru2JB6e9pDUrO0WHqILS4h4jzkGrCsQV4k4GcAWk27deahujfcgBVjh9KTBnZHWPdDKb
JB/TY9RH57GOxLFC606523UAqUtuxFKSoCMpQk8PUYykXJdX7YwPPm994qPpFxCG0smHUhiLeYqa
qqoPbTtelHrZ7PIOEjk2SEYvatVs0TbFqyDqjkIJyMJJSkxCs7Hxx9lezeNyh9LTclWgO6AjGqUX
ZiqnDE+khhEYn9j3y4/GPN3VvvZsJtWW/e0UhwoHrMJQaUqlo5+oMtoAxXASYYyMh4rsGl0q7BeF
xMP7Lsmvhp5GIa1rPEIMEFWqiliHFqR0QFTyg1mZbIik8Sjm8CHvoI6X3JfYo/YBBOqU3I2Y/ls5
t0dUtJvQCE9yKt8nTGw1APeD7adIT5InPfYNp4lad7C4yCstlipfj8yXcpBUSspqiaBEvXqTKBmy
0kjbaNi96Swg9QmtOQE8H9Wn2UrOmlpuE7KmFapxN20ah5jx3JkHwAWKuVOZTq8CTdS7dOpvhVTe
AJ90uSN2KcUYBsgJqg3gcHKcB1kUT/nCGR8jCbsGkMepq1GY0hP06hLZX6Gh13CnhEK/j8N+k+vZ
tGHrRy9V8Qpql97kmRZ5WGfsfTfV8T6NA6AMhkAspFm7LsE3qxfmDZgdegd6vDR4VaDek+7DIUiq
G+FPN1ZuzEu2NTGEHR0Dg7m5Yw7jup1gT5UyEUZ4aQtm6wDx697oHuootdajNUVEwEVDyKkUtlu9
z/mJB5AbDCO5PBWPoi93OSPW0aQ8booLeTL3STXdyiA5ejIx6LGEt12q3lhdZWNDHftdIcW1V/jp
5JZdPDilLD9yvyQWcdSrh06QEFoWdMKTkIVuRh2CYl97UEe7vfZVY1xbHUPpmEyU1fvH81Il/nM4
fzEjgDqm1EDQZ2PBQGnx7eGsZpnQrCDOz+0yuhixfIjhw1A3v7EULljDn7wOsnhjcXr8WAS05pwl
QZifM5yQjVBv2ZUukd0+sV3WzjDZ/ABTuu3HEglusm3UkLBIlQl8fmCnOho+nQNm7KHfXYlKXmkh
Qgkb2FDgvyIZp+/PI0AlfhZyQLn2d+PyJ4X2T985NEb6jajvxVulqpF1RdTaSX4esHkH040c03Aq
/tSq/tKCY//ggllajZq9MGj4jljo3/8OTZcQoZAAaCrRGOMz03dawcYg+0DJ474n4kbqHwAqFR9y
rKuTLe8Ga9CdYirZqDRop3EGpXruPgBCs69zTqWuIAFLJs1BL3CFGTAOHaMIzhFAsdGnUTSoPDci
Q/c9LfI+ACPPCdmUShpEmxmQBO5SDOeIt7FCaR+lWl3jbCedV6sE/QhbcYtK28QhZBWOIkqbUOBY
VV+Brj2P5oKBREM+mulpQmbnmOYkbWVliE9yWEJ2GoG+BApKu9COTU+Jgju/U7KbajA4P5TgaGSl
sca73G6Fgier4IhTaNNNsZmsSlm9wKSJCXgeA/b79OjLz52+7gieYV98tCRQLuagbKdYpyNQh6u8
zDE0itrRyPWZdUqPkcfMI8Kg8EYp29YtzshMGfcoF56TSA0/TnCpkIxlnpmGJ7WYkSk21RrHJS5O
dbzKhEgxnCsOTsnxAOPtT57jL5eD8tP1sMhrWQ6wAREufb8efE0qMEjTboKg86zZTebNZZ+eBZJ0
h/30KWiMZJHUuYogzjNKibLV0hPfCjL0EEsxYp5Ti9xwmNWTUVgPmp6H6yYzqnWHgX6XGRglA/If
aIX2dKUKPduqHOoegbWVZ9US9QgbkZwVuRsZ1TXzntFVwgbRzdA1TlsuwWoks2bzx7oQzzbyXrdX
CtOtM/VWqBO1M10qjWQSUTQVnW4JHMIgHmJL7AZf/STMcQlzYBuARCfy8ca36WMBvqsK7VrgcJwZ
uHaTem30/SmJw+sqQm9kwjSa2gdMCTrh0uA1RdVRCzK1pNeLWNNAt6hhcJd9MkcVIT1LrAm3tLVH
RZMelLCvvKqdtVVoyut+RjkjjQWRFvVGluOdTYAhOn2M3b2nJ9j4LGs4mLghBqVvOOYXqk97ow3l
2bbGXVNMz9oA2Uyrn3NTrIyJ94kxPemTi4JQFzMX64G+aGhGsRuBWlLt6ENSSslusuZV0Uwrkfpe
VlLQIHPmXsLD2Ev2B7zrn+nW+6hzFs5TvG5bUhbANnsqiaGKIo6igQah4dax4PquGEm6NNiJNejC
o6SQxKwMsCGA0EjRpRHqxCBjHkikQ8YpjjVlaykpVGIEGkRCo+kiYFjh1Ez9Yd1yvOc1zaROqmIv
TaRNTADFTIvQtIkwGZRgcBuZTXemzxIriMIG65I0w22Q47cfqmNuGVS9bSpdpOWA0SE193owHHBK
VMyRCWHWSrRLg0wwSTmcpIZbQgoOUWNG15m56w+XwliZQB0G60x/U8AS1Le+2d+XsoR7Xz4JA+/4
6OtHzPfYAX3fP3Rqb7oNum7CxnCBD/3sldQN22JiqDkJc4tVhHkuLVpm7bDi/Vr5zdH2s537mydV
eyMzUEN7iu0y6c6Cc79vToTkuiNiZH+4SOqTwo3l/fOIAdf3Jyknxbev9+Y6rYZhzu2CnaEoXhXz
Uz9eEeeWBw+Qpd5/oYUW88MroZvQcWUCH9ON5WT85uI+NG1fxXKPtk+ZghUpNM2SZ3pjNEGxCwuJ
NTf2h7KMZId0EOVkLehMERPoNi9xiQP/L5I76TMAtQ+YuCx8S92dFBUXhWxep5Rv3HoI7FGXRMWR
mUiwztroKSfOQQrT8iroyIg0whAZkdEdDKZRFBarSZGR3vn+hjmAeW+r9nU5px6dlH2ntbtIUw9z
MO2M0r4YkuBQc2ybUnJI1JyHScLJChiwVO6zsmbm7O+GEpBDSlgR7qvnWZ4MNx2Cx2q063s1WOYU
jRb85lv9vt/yxTmB++6fL/WNtwYpNCgO3xrP1vgUzi+TtX//V/vd///m4JCllBoZa/c5sq7L2HYq
7fb9F/ihHmL9ffMBxJv1l4kskRM1mM6Gegn0CzfdSg4n9/0X+V678/VbwntCSaoY0LC/X3qj2Qxk
cvMpbNVV24/tkFGT3Eaj+ZtfQ/1+jX9pfwExIl1wcfgT+/PmhaY4QkQ+l+qZMuYjh5p3k659T1r1
TuTeO7lzvxNuf3y5itzwblw9p6vphSe62Wq79z/wl2nyd4X494/1lzf6zcNmw+Iv7YBtpF0jmHDl
1XjdbWBVru0VqXj1WtnwPa8Vt3ZkJ1wxmOpX+jn/+P67MJZu39t38c2P+xa5xJwitXDUTOeHcaeu
8B6s7UvTuWh0J/Q294Z7FF62sc/hetzCJdjekIW9Gbfse868ASoKZNDBLeJJx26bb5qLEKKJE3h3
hdOdma1ujJ29Kw7kHdxm6+v33/oSuPnuW39TQUtqE6VQVViXDoKXdfNarssbxYOn7/kexNwVoJ19
sbn8eFx1O2RYoxvv4RLu4zMMWNdfAWz65Lt377+rH0EOb56WN6cDgT59bQreVbizndCdt8CfbnKE
vaitHOHg3XAnJ91Y52qrPtFIW73/+j9/WP95jt7sNmw10tSU03iW52JlDsNhlhKi5Alqe/91ll3l
x3Xzz+u82XWsyNL6fk6nMzU1GvGP8rgd4DJqACIY35br91/t5z/136/2tqMsZWz+RhV359BEfedf
lcGH/9sLoHr89uTTRisVgrjec2Ic1Jg+oG1677/Cb34Yc3kQv3ncpay0chMf2bkgsgv9e6k+zJ31
m1/ld9/Tm82tUZC292bcEsrJr8JMyx5j9//2Od4ssK6Ymy5vsuk89CMwlHOWAFPMLt9/kd+sLnMp
ib75soQfSBPNOU4DeP66jaEobS80rXORsIPTVvGv/ZWJ/Msb2E9/H4MAGWUJrWR8+P1LWkjz0eu0
3VknyT5GnBPS5PtzdPbL1/jpz/PNa7x5aMB6N1IV6uPZiHX69x+y7Dddhd+9wJstcU6ykbDBqj/L
bNo0oxOIFu//Ml/Ox/ce/DfrOIwY+vgp65i7gVO5wb7fMnJ1Zndfu+EquOh+i+h4w8z/sTZYPvU3
q0Gh/4duJuSMeqAxnLOrEv/iVM7wrBznXe9czuCeObqNVeYyp/0gOVftajnVLx+rS23PrT104hWC
wW3uhpvfEUR+epALUEFfS5e3KyeqB1nxeeiUi+Ugl5xmk+q7XHGdZKN797mzl53p8Fl+4XJW304H
vO2/2b0WUfa7u/Gb3x25jggre6KW8HoPYezsqMKxD6l3ZZ/FEaKs96iufSenY7uuNwQ3u9Jvdujf
vQXzzbkHMlDS86Fsz9KhcEbAQk78CV63Zx6613FbrrKjuQH//zl41Nxxk1wEXvz6/tL8cvF6Z2ma
b9ZJAiZBb3KWJlDTNQlITrRUdbvEvel3aLwx+zrzmeT3ezBkXrYuN+Zl59Retwp3gxM+/Y6yoy2F
8Q/v55/H/a0e3ZJsZkM5W0q10jdiIwAgr+f1fIwOivMR6+0ayeyu3NLUO46uebuyqA7yVbtJ1teR
txQJfxUH/43ul2fy7xav94wd/s9I4/Nz9vq//3MCZ/bxR2nq8kdfpan4D0kRRkBDLUz3bSmT/x7Z
k2UMC1xbZtp/hfT8NbIn5RhbPDP+P53xiyDjr4k9/4JGA0wbJwm0cJml8W8m9t8vJO4sSAUs4pcV
Mv1k4rXeVCdVUemtFcbhZQXQmXTeZMBTbZgXihqFzPMCyZdm1OHFQMeTfEjZBuNp6j4z7rFFwyZn
Sns9MBSzPw9Ws62lXPOfARfG3NnJ3ZIORNqT3qOE8aSsArBQwSVqmQh+d6WHeKIVOqAQmmZjTpmr
NLYPydDMTaZX/YSR1kVxj5iJdn6HOZ3RfhVuTZqG+OpjYxHMAQTdVkFtx6SDNPgTqiGtLwJ9Sano
tGkwV4ElF8JJLOHJc9tJrwbQiz+P3v+Wvk4R8eulf90+51FDGkrz4/pf/vLr+l8yquA+sPpJthNA
ub5f//wTEmx8PwoBVv9IVhb9NbMLG8IgI80v//RVsoIBl/UPUVAjkO9fG3C15QD7ZyvlCbBkS+Yt
wOODmEQD6fsSQCIVNalx4Vx0KI3nU6yWUIIVXY4J8kV4fYkism/dLDWwB1aX3WKtWDwWNWaLXoGh
ninZsVLrRxyJ+7TJryLsGe3i09Bi/2Rh3EDvlbg5Vo5A6wOvxtwRysP9TMywHcFELAhTHtxEFB8M
LCFKBpE9ZEbQ0Xr3cGMC3WnjE0uXYbnFwFPrc+VFxao2QkVN1wg+LCyFplZHe/J1W2JgFIn5pQzL
Hu5OqcVcDPFdIn9hzmhGZrapTHsvUqanNxp52rg6siHukI8EoX6s46h5jAc/9zqOPBWzEG4epLzx
wYRDDBPZNpphxVMHqb2xahAHudnPq6oO5GqVEU8UgN8bXzrBEz6QRG2WiAWh+2+s3qY6iMRz6Re+
Zw7V+CG20mEN0PwU+XLlqk1LKHIYraoZnmdoa6vC729V2b+T6nnXmtJVT2pv3g87BBFeL7XHcTAu
7F4AzS+FW6fq1dREz6VUQL9ETFu03YlOMEEoUgn9l1l4bStXfSfthKKucr86W0H5WdVwBEvDVola
VNLZNvCrY2AzWVTHc1fUL/LUXJFotlVjcZvYPYJZc+srwYUI6eNXaXmdljMbFn5IQj8Go7mqW4sx
7LCLhX6fmcKRbevZthomzkPnWpmmrmL7c64UKz0VZ23oVkNhbQgEJxCnOflRc4lx9bFuZvTUFjkg
yorx23kusguLdABma+e8gfo/qvczJPye0CE9y8/8lm4ZD2s7DM+xX5wbzT7MmgH6p92jv98gjHiC
kbi2ovZUau1LUKBmWH76wCRZuFaID1c2lhiPTCdap7Plc6eG3lTF51qoHyoADe0s3Rqhtkvj5Rdm
1MUev2vo23NbJ8GweoVdgaI9vUd8f1vI4VUbSmu/NI6abkFRys5y3KfYx5TjoI8vPW/CtXMM37ly
9HuygUyaUWF7DEwEmxG6zzHcFQ34FGuqX2tTpS09XtUT3FM/6I0PplFvIjGEZ+Hrp8lQs4s6ZeqC
crdC06MWGtHMPd+XMVYXsjCOg8KS6mx9l4LNcCsxlF7Z2J+mgF7GSGx5pqF7Dj6MVSu8EXNrn6am
x1jkCS8Qy08TkGb9DR6ECSOw/zTX6Wmwx3BtZd1NMvgodzW0+nrbMPSZI2zyhDVRMJquFKIoK3sp
X6mhcvJ1/UqvMUtIoCVAKvOLE4V0GZfSptEzunBxsS3Rb7tSg3McSfOpjbtNgiXaQKUlo/JfsTr4
tVQmPXbXXJJINLm5DiJbQ78UTs1hseozbDtq1RK7s9gSq3OpwlAdquxjqWf8GLPkLYHEXuyTJBW1
4oORWruijTWvLnDZ54sjz5/HlvDpzi1kaCRqiAM5jsojypYOtLjkZmrx0Jo6Q1Q1610pm8+dop3G
JPokNPwLkqVu/RKhw7jEdeRxfyVy9a61xV5CN2pJXbpOp7wEeTOcKHInp9fZATKJuZhdkvmlVn7n
DLjc13E3HQsgNo7Qogvgs7e96IjrDcebQBisd4R7uQRe2UpAhvHVIMxDCwbCFvl37pIWYiNCk4bj
zETzEBooob8cef+d/cuN49dn/1XUv9ZN9Ilr1J/V8O7T//7Pn17g5Q+/Hv1L6C5gCw7Xr86rr5Xv
EkmAoRalqI0DDH/VPye/zslvI7sRCEh0uBic119PfsSq0DQJm6SPT+H474Jw7O/bMkz1tUX6ClrR
FgKQnaAw//buH6p5b/Sdpp7qoqpK8ygRXkHCl00oboaQTI+TC7tTtcQLhY98Oxo6judpUkzgxVhM
LbpIF10BEmfIRmlnGLl26hKJVEm1yQ+Zb2fXk5YPFwjJymMetcXHNmiHvZoNybWuDFAGitjO3XY0
Xxkx69tCt/w15OmFVlu1xVMoy7IN6MhOPAA2EA3STaIqgzenufECV4FUNi2ar9RGRJ1r42518gmF
hmzZGGpFRcBLrDrGojCJaG1eZlnn36ixHV51xEuF1zIGnIB2gqlU824uQ5L8AGFZ2ugpZh6ovCAC
ho7cLpTGMNynwWJKjYa8/1DXijUwp6tVHSgONoizECXGAiOq4lspnhncVn1imu6oLrYlvB1Thsx/
qp6SrtN2ek+wN8wkwNwzyIhy2ltIADwlN0KPyCzbOHA81M8A0kExZeFUcobKDQD4irPenaJc0zaT
AhQblYhpe6B8rmal6ZEp9ACjCzP+iAIz3JfgjOeTEVftjmFi1F9B3VXWU23ks4ZUTTeHU2azC0n/
3Qb+MvnTfPr1jnB+7Z8/Pf+4Haj81dftYDH5c19VZZg6PG6LDuXrfqBi8icGROC3BL1tAtX5W7xO
gCaQHe6oXFARvCtcEr7uBzb/H44FPPlkdyvoxP7FTRjB+9uLAHNp4kcYiAsgGLyL7/cDqN+lZvjR
dBHll9pktq7qT4i+W/t2nEEWy5NaObaaH605vSJV52UqU8k1pVkBKJlyFEYNOA7cdk1iXxCzUeAm
Fi92mJzSzr5DOnmrDfnnrgvWlSRK4IvmY1pmpWOhYHOVYd7IanZEno6/yu9tVOPaeZDx0ZGkpzuV
SO4ExnvEHQIWtE+9TKvUKVTjAeXwXTDNL5JPcImf2Nuh6m6TqL2sbZ3Bra8ApLGu6aUTfDEGZ79v
9yQ84QOTmoNiccaPkDOzseAzz14MNYx07V1nMSwUto99M1/noXTflREOGJIIVfucgp2fdeItYMn4
KzzVCm6lzoujal1ZZPppCCTYNQDBRxdNogjEQdV0PSN7j3ofzmbZuHM1AoaJtchFnkabIUckZEvG
YzaTESAI5cYNLqd7tKWkMQ1K40kjBZhZxJ419F4KLMKzJ92xBnsmn7C7FlNZrObauKurHgNbENX6
NYathVrWGQXQ0BFf0HyrDMMM+s4yKjIgqlYOV2kM4+U8YtaiwREGKVtaMS8bWHS0BImGzbSR03E7
D71AnQkMnLjGzSjjx/oSfuobyq1u0sjITP21JBI1lZF19e38NCPqdwT+Wwed4W2b509R+oq6e1/p
XBoNvdlNXUcyjBmTHJVvQd1KqzApF71vf7LlInOTSTvAO7ifdLHPSrh1mTE9V4pR3epZcxVk+pUC
IGcohx1NlM0Yx/42MnzNkSJ/i5qLMIlKO0xdoji2VJq7SSL9bM6sO6mvMTxW0nqw1Y0c9RZ6X9ix
/rCbbYRgclFirgtyAExLZVWVm4gDxCF1nvxBnwsbYjopUp267u7mNL1PDfVzofGdYSR+INWcyJTk
Fin7Y5DVl2OYRIQuW9wT54emRskuF+GW2HrTTfVslY/tPutIjEFR+NC3E1zf6rmdohWtgYMdI7yK
ykcRDa3na6DKEzmn81OnN51e3wIu7CHLIeiWTVQZY7sqZ+r+1nyswDgQMCJORLVezSGeQ82/VyZp
3MjT5GZd92RYwRUg4bWp5BeablyMJUdtJWb1GFuQGiqR4zEEOqcF6yT/lCBt63pk9c3gb4qIs89O
dY4aY8IQaEAx4HZhDwCOWrNh8taMLkCM58z3c9eQk9aVGx0mfsBZ2k83YsZFPBYpAWO1eQPh62BV
8uNshafUHj9oKnW7nOSEzNif/EzeZjbuRmFWkPkzFqB/k+K/WPmxSszuEhzXKzcs4wdAgyHbQnFu
I/GhsbVPNsTGVSwNl4UPkiJrlAV4pxIb41OWp4K62MIuA4FyTC+5V10lCfsKhy3xEj3EeuJQYW0J
+2X022euVZe+gl7TNw3fawbZR3tf2as6Ng6l1eiXs2ZhYihCEBmofK7LXPnoT5rqBMl8OxfFUZuD
FyVX9l3aTVsqI2mFw/QcAiCBvB826ykFF8TV5rUozRmzDp0PQrfhGrWV7ZStzTdgm9yYjBSjuY7/
UzEPrarso07ZIeq5qgOMxfKg7cSsn5kWHIqMTxnBkSzbUHaMWdKJO2EsEGZcwk3d++8S8IXLoDLm
+PWRf4LL8JMDn7/5euBT5VuaCogGRxr5uovM4uuBT1ccsyEJlKSHCZne3z8HPkmYgObp+xFM9sat
Zi5uNSIy6CSC/PmXWFiyud+e+Bb0PUHlQMVh4qt7cwNoZgDTndFhOtHy+VhRFzDsK6yw0jlvgh6A
9uwjCnQkvPOpZ7W+WZwmOeMe3kUxyRmtIacnq4tkrvOwVgRWrgbStY7AuoPrsgpIdsqxJg0G6Y0D
l/ngfugyqfRmOdClDJiAZJe7hg5MiV/ZECO2d1OF6SUVwZomhwQ+Nb8HsY3DQte27ULPa5q+5XiS
e4dOAvtSIDVrv8PMlnORyQWJXhkilUm+AgRdO4oyMgPyywOGgENe+UdlGO9QcSxyashxZZltunIH
bc3HrwzSJBJx5CZmS5NnNEGZWBydnT8jyhln+ln2pcKlwEmxkkldg+p2pNNBegBa38zak6P5SV14
L1HXP7SjAVY7SA9ZJBse5PdLbM3TehA9aTEdgY5sFa2rmfPoJS3zK8JJ5tVk1JhxZHVFXNTkEXpU
od/sP0n6eEilCOdQ7YPx9JVPI0mF0ETRs8sVp16VupmSsnmrpUuc8x2ZahlpjcMRLXzn9hEQFzoA
1xKkucrsmFcmbGFSxplV++VOB6bgjHpxjtXiqqoG9rnygMcJozG24h4OnGJWK0xLL/pUggVE1AsP
wOnTxEsBfbp9Gex1P1vVpSUcAsMIVm7HGHxgkaytyZRoGrWnjEIRq3VNlBHRXkoQ3HewDF3SG6ON
NuFOkURwyTwDfw0mcqVq90vv1ank+j7AaIiP3jhw+bxug3ElRiBQ8ahwqsZXQd4fI0PzEpwejhBz
tPKNKcUyiPG/TvzQlUf7EtCOubIq7bVIlWarQNXEkFecDSVvN6EGOU9Lbk1MV1lc4TepLqSwLAms
hAOgpwxXrDRex2l2N5gWbiXinWXtUS5pA5qQmPohvR4TY5cH1eQIP+QcsUhCmtCLsNDVEFknxkzN
nuVtOAz3OQMxL1bb+9Ef7hS9udEbztegnjd5aF+QIErjyaJr076MwFWJvxsGtzOT0qsSzlxLyagv
u2s/BhlcxEpHgl2wCxo92FZtddWJ+TGxgqfKAN04RuTXU0Us1iddcXW5u+0jWdCfI3uuEOFekoo9
zYjnHOCkIwcV+sBCuUbzuKZ+vCkbGZ8eIFnaVHSytGtuD5ZnhSChtVE60y4/RWYpuVqCeSdK73Er
5Bty1p+zYB63yRRsu75GjBFatptLwPAAYRVosPPHOAdnQrea7Klxtg62PFk4FeRNIM/1MRLJOhtM
FqkKUX5h0+BcHdZpM10oiv5ap8TOFzVtPdO8LegA7vGspyuhjK9JZF/FmLVolpHRqaTjhGty+jz0
0CD7nrQvKgDdBboNALNZ4sxMzBx+SvXsw8kU8tLEVKSCBRBNbjUVhqtTrEG7eBZhy/RY5PlqFDaI
v+rEkOEVBjUhC2OK9iBBPGO05nqW5M/1oB+gNW9hyjzmZkA9H1Y7U0OLXY7KQaZCX1uj1HtqJ670
UdV3QYsbhnnIkmgQnxRiz6Y53EwtQwcb2mDtH7I03oVtde2H1Wcsq42XD/VxKvyLxTlWMr90tAmX
oxwG4mCzL7I3Aq/qU21lFt2wiZPiPi8AT5gD3ZQUXr7hE8U9BEwYo364s5sWPFch8UznJf95lDyO
WqvxOI5rehYyQVtc5+xRJQxvCu/V4XWo6WmYBv78fNIPocgex4lvVLG763RoVcLoirsvqeBaQ1qE
bryGRPY6WNRkh8b8Tm6Kj7aq00mWP/cKiwHi401Z84ORn6N5Rto2bBE596nMvOxjKP2ar4CXGiRy
IfszDogrPioZeOHFnOn62tCXKKFeUp05NY8mh7sXWvKuK6i+wY6NO30wrtXSfwhN8sfqNHrNaAHj
7Bu4qQ1zvm2S/hYXxOxipsDoMdaQlJ3/qqQvVZJGY/HXVRLm/v/nRa/BT0ql5Q//LpXEH7KFPmyB
IMKIWrocf5dK5h80JZZMMgMRwZe2yVdjv/YH80sKF+K8yWFZKId/90bUPwxqAo0BKsT7Zbj6b5oj
DFjflEo0SzVM/XRNIA8oQPm/b45EcRw2YdpqJ0LUyK3HFEk30+2EkeyzKBtKWhj9bNaQZOVSHT18
BfN1x6QPm15w1ChrnpOQRI8WWZdcPcVmqiiX3OtLLtQ9tw6n6XP7IivaeR9oXRrtqnZSb6gtJWOn
NHItObYNiCTzNX+fTEJGTg8fUbmOTK5iyPTntPlo54EYTpBkCCkq4fb0YIBfqTLY6/OoS10c7h10
3qUNaH/pCLbV1O50DJu4DOYwmVe+PHVc3E2ucmYVyge1s/1DXVUxG3g+hKtwtPEfVXW7wjwZHYx2
gsnrzyWUK9u3mZRzgmGP9WnmmDr1Q5KH3WWoGs+k4jyZSfCRqWC2QvYB00cYr2WbvQoSQ0kZzyr9
E/l+LrG0rloFwy6fZWPdJlL3NND3cXpVJnp9SIgRtGzi4tqote4ViaBlmwHUxxEwzbbRcnUXSj7e
nUTNtolSm2ez6kCQlGW10RcIVk2QM4AbXCWGVRI1RvADhaePF7kpPdECyxkan0I3O1idjdHPr8HP
G8a8S3ROfVJqcQACU2Iknjl1AMJEm6zYLZBtMgRNvNKyXyEXS0x7522q0AajibuZ/AHdLsJUJ/A5
Dxt9fNBDJCTJMGPmIzy2UOzR6Vpcz2E9nBON2RM5bqNrpwtG2DANLrKleiEHSXItDYZ2lQuRv8ay
Xu+zKsrvOd1rF1jNpxxO/58hXv8NeBYGzK93rfNz+bNmLn/zdcMim4oxDOYT01QBmC+iva8bFv8k
uKcR0qfIJkhzJjhfNyyIe0JnHzGZ+SyJMN80c60/FENf+CTaX3vgv9mwtGWC9L2sg01RU/8/e2ey
3EaSdtlX+a33kRaDx2TW3QvMA0EQnKlNmChRMUd4zMPT93FlqpKSslSdbf+iF7krVZIESADu33Dv
uUKBYWkXf4r8gDaX85Y357OUDRNTE3VB7TOSk/b0YCTVNlBCjsGoVoHsXvUugCCNA1QfxbGxg4xi
U2OHWK10ezrZM8eU3eYbRq7kuYfx2YmzzRR4N3oWso5FxLSuBn2bjv5psOyrMi+3XujvusQ8Jzr4
KM+Z02UdAhMAe3nn2GUHUMx405zi6Bm+JDhChCfXIfNPk2mw8CoyGUzqBYDZWwxoe90esB6a3qMr
rZvGzM6235J8URe4taw+e0ydCRRBygza9i942+/CAcWJTbU62cDfw6zEM9+Kt6EMk9M8d5LYFx5n
svvtrNWAAbuQOayxy7VU34SjUa+CjOOu9WOdKXgo8bKSO2LKAQ4GduMVuJJlnLF/rbLXEB5DO/HU
Zd9su6qOcSMQfToSS7FxddKPB7IfVOHILHaJ23RVi8zYm1N5tPQsPhiafQjIy1h6tY79OHWvhpQc
XH9w7iojdkgwqtlEFxDaQ78WLN0czPJUZOUMm8xubPBqLkLU1CLjvmihtwQfmtC7TzTPhlFm7cQU
vCH6AeslRo5OJ181NpZ5s4T0rgm2bhFu8CrN9fvJo+RxR3ufF8W4EqFkvJrtRmYUy8hWMLUZ82kZ
N8HeGXpYDbpCSSX+Ji6YB8xRPK2rgFLYDtNPtVEUTE4NiKTabN76FUKJ2U5JdvLiLT7qaKW1BrbR
QfdTKN1mfkqdoNg74B52CNYwLWpeugeKtxpdgRSOpcnCMd1k25Z2Vu1qTHPBnTd42sEA6hdqpVwT
LuIfWONBNAf9V4MAbHQm2jpQQKFJ9EtgApuos9e9V6y8viiPBSjBRiEFR2JhBJBBfeyfpaIO0kM+
dopDGDNSYRshn3vFKHSBFXZAC3NFL6zBGM6KZ1iWIRG49okeio+E9tgq8qEAgYiQimcdirMLHLHj
0rVjummMWHAT02bLoOMqU0RFXKAfZhCLvZ4+IKqoCIIJ9qGiMPaKx5gYVcykEeJCHBUE0qanKNSW
o6I4UhOdCrCOrbraBkCPcRA/lNpEjaFhrEqAQVqxfOyBQ2oA44E5wovsAUdqhvbSK5Lk0HonS7El
iQRKL04qPrSyPzZYId25OU7gKGewlKHiUzYlY2JFrMTWus0Uw1K6ztEaIckouqVmRrcgTZBHAL40
3ftUW4vJO0qImL5CYwYKkllAy4x7l3DwNLvAIdToN+sXqbXEF4DYLGBtRnZA3gj0TWvA0guNU9Oc
3dyABiInrSKhDmQn3dYig+Hp+v7exSOMnJLihlddwT57hf1M8/mDr0CgbV4vYdhVNnTQTHFCsWFe
dcO8J2nn1bQlJFHDgIsPW1TGyV2b2a++oo52I/bnomKzpEEkNRSbtMaKvLCiFoIzZ+HCn7Nx2xQA
bK7/6RO+9gni130CUd7xVHY/T1TV9/3r1kUxLGBsgEnnHiV/8d2tazE3RRKMyE6pJpTV4ZuYmKua
vBJbd1A3IvUVSDT+WKEKHZ0xNzQMXKFT1xN6/Dd2qCDyf7x1BbRcELdq2OvwVLjf32sqoLowcaud
8masdXdT9HAshRSI48Wwi9wa59DEFqrTBx3Pja0fdQKhke3GbrrPUOo+x6QnnAgTI5zesqq7pHPE
DtxXcz2kgfwsW0VhytjNRZnLQRUSa4clXxuI5jK08aap8/YMblu8aDoJ9ga0Ew+khZGt5iIortNQ
+p89LbqdxgyCoGFoBxMp53ampXlovcl+Ib+vvhtMuzu1TeTuMeGX1cLtAHsb9lQ+QoRoCQ5szLfS
7rJnpr/FLrQbkill0HzsqXnWxGKwvar9YesmaDy6qJeXgdiirCMQEKqSXPWDIfpzpMF0/FQ2TJGO
BjPDCZBMmXZQhZRKWYS+yo39qmOugqaoz24kqbFDY4zuosTHwv5VBT231uwO155PvhmFiSCWa1Nm
g+eCze5B9qxsM8zio6MVANTpgabXBMBsvjYhWINWGl+cIbM+Tpprl/ALwL+GkWMfps6Z7tqhnD8C
TWYjWJixjimf4ikODX8byD585Z0UL2FTzh+DJprfwG8/14THF2F80FySsXLD6ZeDXcudJgdIOZ7R
TdsUVM4RVMd0lZYjEb2gUEgxy0uNcNwhjGFKtAhVq56tuEyrJ+HGBJf5xoOVovsmRJqRuworsakJ
dk7SOHceAJB9q7GilzpZi7Rn+gptmq8zgbXL+6DR87eGyPlXzR20A0pask/G/EwLqK3qth+3vUZK
GrEQFUD6MYjlF1cr2czKoLh1DK/Z2/rsfAjZN61m300exiAFLZGIBBJ7lbyA+OLimd3pqkkZds3d
qB1581JQuQh/krAOnr05Hx4K0r3XXTnGd4gb5U3Us8cqCAsnjkUIhKRNIwyw+T6HazPazSqska7D
O7YdRC3mGyc5Y1jr4I6DdSG7DlQronbjTZZy3lSx3ix82aiwEDzz/5zFX89ipT35993PGc5G+Pbz
Say+69tJzG6LUZzJT3M98fXg/Ff/Y9DKCBRq6FbQdwvFQfrW/1i/+YKWFr07cnPvB3EbmjcASQ4/
VqX9/i3i+F8NbICeE8urTn4BLpEz//1JXDmcjYOrB+QGGNHamrPUXxpqnqGNlX4s3KZP8Qky7xBJ
dIiD6cULDcxuyKcspaOizx5c8nmyvF9XFuJaXVYS4mtMDcE2rHwMayXH4kJCmlUolZb2VbA1KO2W
yIL4re30oN6YStZlNxRoBbG/BZv/TcTyrFq3WYO0NKtFv6nqBGkoixKfypCZddD56F9iiYs6gRPE
mKL+opGPzraaQbEdB/0iMlmPeyhHHbWO0Czq8KxHnQEphkOiDg9ZZ5zlXNLM6XQ8w8WwZiBQ/g4Y
zpUosz0sjf0YB/PSdmCJzbQhjDF6pKeNiK6kABgotZuEbfatDLxjKyNkGiECG3yWxlXRlPWSzMV0
PTkJix6pJSsmLeexbc5aCgJiCAXGPD7UbL+HdcRq0Gfp3pK0GltT/SW12jsY0Hc02KCh+6wtbrQK
74ElGP1XchNKJ3ouARO7jGQCaIqnXpA5ZJXRF4rpZGlKQiHNEkAgyYH+ZOV3mmMPG+mhe3ABJ61q
alR2DP5OZs6CTAYgbrPrrEyjiM59SOxWLInRstiftaNW3joQIX2CnVhewjXymeZIk7421k4G6YpI
DQla6KR4aCA7s5yPF+C1vA3NbwzwL1+O3VyjOXTlix10ipin0Thya4TNsoG2tn33Ubz53ZnxX0WX
35TQF5v/9T+oft419lg2+cBBK3Jo1pCSMWT4/o2d6NGgA5ZLrk3wTxsrG8yP0cTfaSBv6A8+yj/T
H8GZ9O/PvzuMAW/1z+ef+q5v5x+KPcEpR17B79YdXqZ/zX8wrxGBANlDweBQ5v15/pHFB7BUjbEJ
if26wP9WiVqs/akZEbU6rP+VK+jvVKKIB797mzAWR80H7xDlgYoVQtf3/dukNwuzrTR/OlMvNxtQ
JsW6QdmbYlz2guro6cnIgKW3NdIMgkKehqG703N7a3spgMd6RvAb6fbVWIzVok9Y43eoeKih9WU2
Wc3GNFrGDtDQdiMSqYspMMtB94SNNIWE0yTlsz8byVKz9U9FxWFgRPMlj+GYBkOZAc/EDWGF7pl0
vH5ZlMwTQummy7gcSPX0WK93hHTiaTMvqaVl+z5HX5cH9lqvI3unuSNnoRU0e4MKFf+FU9jLWKa3
WP3ehrS6K6mQZT4Qcqs72j4ZtfEQ+hkY/daXZ70jVMFUUwl+SgCfH/X2QFBXt2rGIlsFg39CtQHr
xcxIC+wvejo/5p188JPqGEfNB10D1SZznuw8mIR2J1fCVjU9M4BZep9nH/DlNKXV0jP74+QyzGGY
VC21jqYxcsaNbwafUopoyrhyE0D+drXqVJjyOYkxfLisLhEs52zn7Ol1js1rg4X+evDkbYw8b6kn
VuXdNJanTVutU8zziMcLKAuXVU3Cm1Gva1lCfxw3OkW4STRMp9Dw9fw2e5Tmttsfi9Guly6JRBRe
eCCKrpFLQQgSQw1QU36I2WIwxZPsshOBROGqEnLdj6a9aqa3AD4X3GElDg3VWP9L54aswVO7WLVi
JltYb5GEZOZNUE8O023ykmQiL1E9f/QqFo9GCw40ykocS6KxF4VT7nuzfUyS8tLpuc4CH4WBWrfP
1Yagc1wdFhGNhnMZh/CpLaS/aPPmGNZthgeKu9lzeLt6jCyRO4VE7kxs2d2sANidNyg/FHgorvxH
GSQ3XJ4VEzjnGAwe2L8KUFJrxx+RI6ixQPnRHS1C1UctXjVaMO+CFuQYeVBA8kKBlcxk6qYbs1yN
IgQF1oZ3buDyniI6dwf68dQG5bjsCuXRGWfCxSsF6RIC4cZwcYyIVbCFB3nMvbXdOFe5Y+7Q5iMw
DP3zWDTNKtMItHIjzGwhFS0QyxYoWMAYJxvPJQL7umzrxTSkn0CjPyW59SonmMiClHfYZW8cUte1
GbKWAPjVD7a+TjyW+vRO/RVZTTeWtD6zG4cmL6OdRSM0JP71aBZ3cZElKCvnlww96KLBoLLx7CTZ
yJButQ3AAJfVhTYxWxBw8JbM8JUnM9jOHRW6mWkOEy2VNhDGd2UUDnyo42zNFPepGMonhPNUKL34
WOvJB0ICmUO34NQkgpxFXGIXKL3HpNaOMGUPnp/rBD3bbMvlISjtBOgi0hVoZCyXtBd2VXSU5VVZ
59licFneUlU8tzNOoDS0/F0vmcs2OdGTA7MssH6+OJtp6Wmryp7jz/+0Bb+3Bb+8Fm+yj5/+6lpU
fKV/XYtK485C33Ec+w9jy7trUXiCWa2DF1Yteb+/FsmvRyNHJNrXuPP31yJB4rDZuczwM9BM/I0B
Debon69F3jIeU3oS0Mic/aEt6KeBwSfmh3M7kmkg2vSp7Kdbt+z7deaHZxJckk9UnsUinqx7NBCo
pS2NYbM7fNEifYNVV6BgAAYZemRGF5m3yF2Sz8GQvdYhU/Ixg7Xcd8UtfpUQ5XkZwNHDB5sjP4mk
+9pZ8Z3Tz08RA2k+P+guTCmWpDGwsHTlwVLLmtxVgg6/2MyZecdjcQrhv6lRO6AZmfg8sMdd4jw5
tan/wLSMIzwNPyeNdxJ1cNHFeI7CZle6qOpQ3F5MnDQbAVRokYj+ZjTdco1qkcPZHIdFrm4PpLno
85dWRRQJ5gXcctLYGRE5Z37LBYWY3lt3JJetrTTYOoi4AGTm9BJS3MOmZqblrzrLWncohhbEdcb4
Kac9179YtkXkwYyfH23/M1GtwM5HNXQ/uH373Okz06sEC7CwIMt3E4J+pwdmao/TW69zMRjuxrU0
l6Cy6DE06H18T1tmXka+KdI/xtIM2d3zELPnZU1ApM1jqdmvXTcdSSDbailQdcvlyDf2XZBeCMoB
3G47tx5/oYBc+YVW1pshy65r4d86sf6ajrO+GJkT4huCD+67w0NuipfE869pOXCB9oXYyM5g4DC6
R6I677XMKpbOrD/GfcK5VCT4ToMHOdbXEhluWHMbNFn2JrTow9hr99LqrsZovMUKuKE0ee605BP6
MmwFMC+XtSQAdSaIbQ1D+Ys7TXd6B42gEv6Jl+lqgO5Kq7gKxBdDArE1+XWUJ0uqeRP8cA7ghLGQ
x0ohdLdzAji2LsoPVuG8WKSHLotp/Ci6gfeXUbFlCElb7MkpMfrsMx7UJ7+2sIKa5dbInAMTsF3p
tJ97DTu2GVkKVLgN6YhQhFY3cANbVGT9uGIEHy3gYiUrLQK5NFme0kOSaNLyR5pxNSxsdOqYdM3b
1pFrX+Y7BKS1v264yw8BKSbXZlc+jg3Xz97iM/cCtxASL2VDFNJoza1A5DVFl2mo/X2QQqMt3Wbc
ktRHaF43iGVXGQBougi9sya/sNtqffyuVYsWOwqSad3maTU/9F9NEHY/etgTwiAVd0VgYSnQQusx
Fgl2ZEwUOv5iAvPIMSkE/gpltPASOtvC36J7xINheB6pYHV2iKVw13kfGGs5WC9lb5MapsT3WcRb
uhhaB1YbK3niPpca4UWh5493nsTyUUbReYzmz6oljavQW7G23+gUtx1EekjqQEcLx4tWaPg2mete
j0IAiI2Xs+49xVhRIo9KB2DFxmkhNGJWqfVplWFeyeJug9G2Xc7YWkrZMI/A6CJQn1xnWF9S4dzx
1zW2FaaYJsGYgEnGxyxTA7NdhsHw2jjisSyt51x3CYPEYJNkFj6QimgEApAfbUarLB3ZtBAOfj0o
h06hvDpplF3p6D34f00Ehwnjy9ZmpeNIyPfaurbSL9NcPcjEfZRVfGLe8Yq7u1zquXt2MAs5Xakj
GYmshYXPBWchyy09MF71MbkFWH3Fi4frKCFWsE3dh7wnamHOcE/DS43WFYR8R4nb8TSBx0Dvjo8X
mRkfPRclfBOZ+0ZJ42M08ohp8YkYBx3tPEGWV6kS0zPFbTHsO9GCbBmfACiKi84lplKQD7AOUORr
0dxuSr8CHtv5MYJh/bpQAv5eSflNNP1zGHzUpvwK/cyDpkT/xjh90pQNYCIRdFkPw042gv3rhPTO
DatPQwnMWVPbXlT6D7HnkMUkP8UzhqvQ1PN71pE7rTAfXGzjy0DyamRusMHHoq8IveLYGPZuLgOC
7jpKa24H2aKlg1/d5BnvtSanE1lkJG3Uh1o3JowBWUhSlOoCm6Bt/A9mThzz75DlfwYFFhueXwwK
ELct3pR59edhgfrOd1URrjoEaWhFKLR8qo53VZHD7gkN278kbN+Gpc5vythHogxgDmG9Y+BYzm9M
FxgE2Y6BsuNvittgdP5YFLEcQ3uH+I6CyCRj5vtZQdOhcWJLrBEsmsO44OaNg2FRZE6BIaktN6k7
ERgjrCUGkouO4ABJOf3+UKVPw9SWK0xkpP2iTGaqlix1xykX5jAFq6ryhlXcNK84hB/LZPzAluI0
4YFlGOfRoWf1GqA6YY7WA+qGLSSRZBW2JLt+pRxX1icmb8veJUBBYdl9nSUOsQxca0n9pI/ul1HQ
TyeDvMvN5ME11Amaclx0Gi6a3K+eRSe7VWzIFVEvwyYJJSLqUtsUFXJfQ6u3Q8rmRQRURk2XHyJW
SSTLBiVi3MEGfR2M4oPMem26JANo7002GkNuLUqVbErSsS4RjxpEoPoYB5hz+hup4lF7FZRq6h2F
B8zGXoWoklB506lYVb9AqK+CVjs9+dySvBroRLAGKozVaq+z/sFsoGZju/SXg99xTJDe6qoYV4M8
10QFu4LTNdcT4ejLpuyPTtA0h0ovXiszIhKhyCJA3pQSBhnguQBdkYasryLXXjEdvNdJMUndjgnz
yGGCie+5EOVjHrslo+KxvNILdM+a68PcQLoWEsuQwdIwmm1OZGfmu4fRDp4xtHPRpda0L51k0xVC
3xtcXguAINMa56OJ+avEhp1hM+b5PHlhGx96qq016mdaeyMgs2yw8nPg6ffUcngvJSQO33GPIo9b
TGRDFT8SJmxm6xpypLM2Bu80m9NFb5C86w6EbVJNPMYc+l1IeRtUNbkatXWuQp+QGXNHi3+xE3cf
ZPM27btdpM/Nqm/D+9bLz6Pfb83RnBap3jP04JXHWx4ldrdnAvJExMq9W0bbYfAeMSxQcNbNbuzC
e6D3V/UQ39V59xy3FMcjzTU2a7kkxo7hL0Eg8GjsDbeLqZIsrhyQ6kde8mTRdclbwuXZ1zw3jenY
2rIGe+eYhEjPLtlE9gezzrGR6tzsjFy4UG5hy8v9ZLdIRzVyfbrhtdCadd7c1x10brxxlzBKYHj0
kOPnQ+0Yj7qfgLQok20T1zt0/y0lunVi5/4h7wgh0FxnI1tWxlYl6UNCZDIaAk3QJh/9ABqLnmOs
d2Yct6xmqTVMcziWjbYqjXFlevarJXUIUkFyN4fRmQXuU1UT+WMbj1mlG2vdJKuySIGzp9p1oPvb
BCgLC18Pjk3x2geIPpFzXPkhfmL0Wscs48sM/zi0XYs/Pt97YXfVt8WRr5zX42ix6yttOntvyMwN
bJqJGlsr8tsIJ5VJokP4kpDkXNgJbZGtf6Hm2aVx/9L4A6ZOojI9noLlfWi94pR3OFQgmK8sAxJP
a+3qUD5PLsMZk1HlYhDOlWd2t55Rgb4eMVnWtfUcd/V+aGoCbPoAQ5S4WEm4R293MQs/Jte0P9k9
gYKjXWyDovb2PntekgK2sZc+JWZ6xQTnwS1Ql2SJDgpGrEyZnaKiOqZ695Tm4q6OeS1y2X8SOR81
vT5h0TmPWd7tw4lej1CfXWZWx8o3b3mTHMqOwjeq23MTIJtycUB0WIxys1ph78w2faOzWBiOmm8c
NUunBhu0vSAMUK/Fpq2rfT4Pu6Gnpp3TK2JQtm02X8j0Y1uSV4R21cdR8pb1mD/mTfYQ6MWHdACk
Utn7thZvjZCHqHT2hhU99k18Z3vNPdSLbGE7waa3I0Q43mtKZpaRo6ed83IfmPUVodeHYjb5hBnD
KSrTY0z41phZdzTGOITwDxhlpS8TR6eajzeFlGc7L4+x6335Z1rzdVqjROr/qTapi4/15/ivjIrq
u7/VJ4BKDEtVGf4fJLI/6xP2vBjO2MoiZf0jce9bfWLzXyhCYH2738hmf8hqLOs3DzMQpHubsQ4L
37+nvjfVVOY9o8wxAAbYDmxxVDympf8wtfFHWyNV1YqutZR4SVsRNLx5wu+qqBp9rQAbbdXWNetQ
DfAGvlsgHMFQNcnDlKRY679iOgpF7CgqGY7MmRXJY/wK9ehY80D4CMdqhvcxZmw7+AT9zgKxHPpd
fIoKEsKmuYYY0n7Fh3htixPORpQGgMfVnQUa/OQ+L7nDBb5ec5ml+nQXGR7xYSbmgY2UGdtQtr47
YtzpFO3OfSyMXusIYmn7R4nRGXmZLedpKQoS84AgkT6aWtK7sdJe0sIjuNBsSYarb+BPpG0Pzq5u
hN6CLjU+oc70OryBcx4uvdgJln5pYknT82VuJd1J19z82nWK/jZnfb2uyXwSy9gt+l2nBTZxHJX3
wSzycYZy4Jczt1XnEPPgxTaZvWBib2l+scfMbR7vstqdP+WmpsKDxdQUy0nnEjQ3nW8nGK+E1aXl
3uutdmvXvCDNKsbu9NLGtWGsU+AOa5EYXVRAAouYYsFC6eceHsNgzbPP+sHjyyZZh1tXb+dLU/fJ
B4ZhzcV3GxcXnmOwS2ZLfY/r4tq3GonHW+OveVNoYa+vw0axA8Kg7Kp9ZBpdcPZiM3lJWbffjz4O
bEqjDunqUOhxttOtAk2M5rEf2FdUb+Mhd2MxvDmDF775BD1tITAGmyyOEELFPkELjdZMINNqlx49
bp4jy5D1udJIlHLm9h/5yR+QpF+K75VlaIME5VPcfPqrxup7FT77VRQouk2EK/q/Pw8u0/oN+T3N
iNKUkLrxbtzs/kaYBXmf/p/f9e3ggssEWRQmovH/4LBWpqD3xxb6ROxCnH5Kk4jKWmn039GV7UzX
vSSo5/PcPlVesOi+vUP+LfZa/YQ/H8GzdX4q+EbokqbPuSjUM3j3COiGHTlKyzizt2IWxMosXjT2
577fvbs6qA2msCzeiw6+/01+fpwftsmlZkik7bZxthW0tL4a3M+/fgBgNb/+TX7oQUOjKkzytoyz
Obrw0B5c/wtS5qWvAaHq1wiRlk3/IgnFjm9anNtG/MahGoY3ZnlpCwT/kC+qo2OHKMGZ8opLl9yR
nrwa2Qj9+pkqK9ov/+ZqxfDub24R/c0QUP0trDXHLaHUT10fL4kYOw9MJQP4cfGEkM5cVPxPz4mX
v34CalHy0xNgh2ErsQD8APMHBUiBUqklfHs6Y/chBMjw6+wqxXVCLqgUFQw5TBfdnv3foR5ZM3fD
rcGMixOvREuvazMRUnACTdnp/aYNVfhh29XbLH82c+swBHpDeaYlxsNo5cnWSv0EerJHPlySrGvy
BCUdpNlXG3SMtFXTNprPvROv85ABITQwLMjbGst1zg54TvDmPzcM9sPmHl/CyWozzLLOqkeqYg7l
HoElIBli0xK5Su17rNcVM3sacMBZ8WQsO6PDzpmvVQRS9dwkOdgeCD1DQTSjuCTJKRnzbV+Y5UNu
4/m2CKQq/ftWOCvBIDDpsbTYcShWIq68le7lYl2m2QtCpEWeI9rxycJbpaH4D6z4H3DZSnzx3Qdf
KZjfv0WGGH1OOzbzWd9au2A/X7VP1tbb12fCr67aHSa6NY7nJRm6sN0POczs8UXbp5t2q2+dU7xJ
/kMG2vcDnp8/vkq2/O4tKzKQoLl6y5bpHg0GUbQ1ro9Npf9+Yf3b4+iv3pnvj6MfDjwvzucsoi08
awhw78fPVbgEzibMFfXIrz8EPyQh//4rvf8Q/FgS8ompLT82zxFjqZt0RLKPxWgxNJQVy/AMpObX
D/hXJyBiHupQD5w1htTv/4RE9Yyum1nmecDNUMyvvXbz6wf4qwPw/QP88Ldj+EI1FprmuelXHarj
QVsyp/kPv8V/epAfTll/9J15YuYIOPY4V4fWuTedD7/+Pf7qSnr/e/xwPE7c1cjvbPMMFoV1KOAw
59ZPrv1o/P13+e+eOZ9iYvOa8kv7P9VP/lTKqY7DqP3f3/+z+f3f4VupGOff/WNd4CadLt1bPd2+
NV3Gt/7+gVBf+X/7H//gRN5PEmr6x895XDD4bOv4U2v+xeiYl+XXjd2h/Fh1cfHX3/qtq4M3h6XB
YN4KaPJ7iS7qNZUERUNHDYvqjLrpW1fn/WbRXQKDwb1o2l9n1X8WR8ja/vhhEOn+Hm/uZ6+ECmMU
SicgsC9Sjn3/iXI9PR9HMdXnSUNiyb4I3AmrbBRVOMGi4hwLjsII/K8D7pZGwb5UioA7h/qtFYjb
tO7eSlS5ixFYbtL3xwh4bs+CNTXNpQZUNwOu6wHZnU1WK70YAdZZVySfoDwDyAu0cxOE7lUDqLec
tIsDuNediicb9y0COXy85JXjWwORiA+iXEWw2xcOCGDbix5rkMDAVC5Tml13E8BckMEjO23GmCNz
lJnGh3C+OHywyeDW+I3WWT28+uCHA59TvrY+WCEGbfDEReBsYLwfe1FdB+CL/RKF2CyWYSSvO/DG
VlmdGBw+ESm3iwzj2gfrq6XlOTGSa6qydd8BiAOXHOn9CzjtmyjqTuEwLfvS2wrwyhaY5dqU69T/
0tS+uc4VhzkiVngGzBwMLsQb8ZQk/V7DxtEDcI7Ceaux9cwBOzuyvpuaCffWGJ9D0M+pO6wMUNB2
k+/mqbnNvfa1ABWtecU1BM2rHoS0PXeHvJ52XYWdEMS0m0g4KwBoAn9vheLWjVygf0CpW0WnFtlA
1qOrLYyJcVeQfrRKcesDtI7QZENads8dqOvQJLMz7Pf1XCwbUNiJP+4N0NgEHbM5sNZOERuLCnh2
kI7EaymetppsxYqw7QywtrOpC1Yl+G33K4e7GreehMwdjpJRJ07wHGg3dgPgzvVXlHcz+QMLwK+I
byil0b4tsbmdxTyPMTIKp7C2fV3gbTNYGfQjRgmt1Ldl1WWqmbxNy1YeCodw6aZii02uNXRge+5X
/WRgRBshn+DWN6G6zcmtaZiQTdF8Me/dJQWwP7Sl3ppfaV4W5gwau+iI0pQweFpkm8BgiCcMyFFe
NfhUYjFVKxBhaBktyClz17JYlJWJBrt5wCiir1OHgi3JzEvsTaCXki+DjazM18x7DSli6VkraI7n
2bQ3ok6vqyYdsKYzHM+CN4x/Jy9pnzSmw8mp7sgh52u7JRnpeN+dcB3n5cUsAeN05M/KHnp2wM5q
yVSS7HEpXkMQUAsdMNJCNhUKS+Ffx3UfLtwx+UxU+Uilz5az77Hcpab3hkHpQzGZD7btvPH8o0Vb
6g1qSitbWZJpbZRb2GYK8j3xCRM6gkxFZvXK8uJzH+UHfHyPYpzQJOqHxPcO4FtA02jdmgvhMZ7N
tZ9n1TV+/GqT9+jmzU5zTmUW3BUyIo8YWyac6t5adcJiQGAUzwM011VT5Z+1UskqRiSlbhQWmyQd
94GWbROdcbA/9y9ziXEzIzw91t3XqB9fR9FDYRlz3reus7Mchq8uHPXQA+VgVubGkxnjd8vcBqX5
3FYxwg8iHqsG127YNRTR8fMUgof0NfEpDgjPdXxYPl37qnX1qjGxHoyBvqqK4MkK8W9OeHdnFIpL
kSo7M1nlokW/N9fyPmLZstKTaYJdw+s+BsGzlWHUDGTg8v6yNli9WbH7Ax/ROJ0wtPKxrEmz4OlZ
X3IdtmIfhIojSUmeggIa8mofx7PDc+sP0mvOYw5xZkIxDN99P0Q6ZLv+sdD1A46cGdslboYYicii
08erNNLvhrA92kV0b0zgYPrEWRV1gohTDNbKGbWrGLMsLN/0oY7Q4cash1aZK8H0RFFabOoBz9hS
KwM2KigWgSX10V608SbKerEodMLI9ZmtN3xt2NhNXm7GzoRJOl2kSshwjTG7ECT3R1P2312MbN9K
FZzSfF98/P9ci9j0Cv++FrnvyqzLi7efCxH1fd8KEWB37KsNCg0E6Sqz5d2URoeDRzCl65qqDHnn
2kQQD7/FokgwHVJjFN72v/4sREiEMl0qccU3QFD/d0SBztfw1Z+mKIywDUgO8HfVev59e2T0dp1r
ZZ6fZzs6WChORV8CbwdZNRdJyYrDEYskyE5CZumGLf9O74xtLNtzRJwC+lm0QualMMDVWcZhaOTH
tBMvxD8CQGlP42wQqSB2c4QfPdXKaRm54UszZRdCd9O1k+cfYVyRxRZBcIJGJZezMYCNmzJzkaVR
w6eqLZ5KKzp26GWvCiu/8aIUya2y+c2utgTr8Opo9gZE0k00ssutwdX/H/bOa0lu5Ny6r3JeABMw
iQRwW76qq9r7G0STbMIj4ZHA058FHnHEGUnzh+K/nbsRFdXVXSbzM3uvXQXpK2HLKI5KeQPvFWdP
ny18K/Y6vVTfpFJos3SMYCj2JBSozDq6k3/uOoK/w+LRmfTnJOYLJ/YXkiwfx2lQ7F2jvZI9YxYY
b2qQN1DVTnmHNSeI3SfHMDZMuN/HWO7aoQHQZ3GwjIF/K4IGMj9Fy5hdpyPaYsKVodeNyRoQDld/
Y7wEBYIChbradNMzanFQrdV05QDFPJZ4/oG2gI+LZVDsjDR4115x6w79WfS+uq7qO1M5uyJLtpNn
3XhusOsdfT8BhwUKm6ycxvpwrBhig/E6iPCFVcdO9n0P+YU9rJMXX6AgPlWEhBCtxb1m6fR6Gnjp
kAncmTrUmzaTxXMtjnJqmYN0fkS4Se0N15FJDTkiZib5Y1xP/fAQT+mW/052iWzzTVeXzz2/RoiK
ap0lhGSLUe3dxOS18Ql9N6ereuB9SFNEjqnp5xs1+RinJuc+8cn2HMNvzHPgEEj5KJS8N6ja10Yn
zwFaSg5kkunjqsY82sT3BtQAN+3E2VUY+3WdPjII++qbUIrD4q6Is29p2TxHASc/iMlxHfFHHarQ
GjnGQwY8sJHXnm3vHLFI07wQGUhClGLS4/xcirpsbwry6GxYa2WvJySK/Sfuv2ojJPeP6VWvShXb
wKryZS8cr+scAl2kEG6VGi2g0zYAJ3zPIo18Iq3TCqoLiNanes7uIZD40OlSZKWJQbSYRmZX9CWc
xUZdmQDWzhapjr3fvibSO7vCvYeHkay9BI6QYc3zvihZBJdhQwLIVPLJdOz3qqwf/IE33h0jKCDz
NYgTZI4GIL7BpcD073tsYKMD+8EKw6OXGWRw86FnXufvgNKxB7Ygl9hR1q6qsRlXaU01Z8zTR+TM
sN5abAw5r+iqQ2fVDeSkZygVJkpba8mgAFa1p+AotlN2jwgSLS3XVTR/GNn00Q3yMdLDY5ZbDC38
W/qVbE1wrliPNnUH88VnfMLlqsu97aI+i6dBntAJjis8AS5vO/UTfuYP3tfphIliq6pKsCsHK2hD
pbN1C4XZuGgTZh0lX7nF4fBBLsdhqjpcfrKYeLtYQeGxBeXfKCTI9fhQLDC8ugXiFtoRmReO5PdZ
oHljzyeQf/9uL0C9yc2JpV0ge35u3Ne9+dku+D0hi+SkPO+pgszXLog+RE2fqOVuPJQ3bYr0EUGH
2JYj+ghpYYJcUH8hzD+0lrzbCwawLvmjswUN2MMIFAssUC3YwCgBIDgsKEHG2IcQzc9BQRmsZaL2
AUejgD9YU/MQiyEucxfftItykd4X/AvUwjEtRgbC6raGZ5g2cA1nzkplPVhRba/VD/Sh8j4iMC/Y
DgkRAo44LphEF14iIglrDYq/BpQNjbJx+VBnbfg2wFls4C3GC3gxyg2UeKAYaa6ylYDOWC2YxgZe
Y+8YmHKcBqTJAnMECf0FLzRHBUU6tEcOun1UQ4y04UBSlz5ndvfS1JTkeda/iAUZadmjtUFyH1/N
C1Ay+YGWxJaKtwU/OI3FsWnTh1I6+3kBUoaZ9TZmLDgDPDTuD3blQrF0KkILG/t5kHdje5rD1zG5
ErFzV8K7ZND8nBrFUwIHUy5ATLQr6J1BZFYLLNNM5afFQb+1GOoOieSrvaA1jQWy6S24zXwBbyZC
bFQwntsqJ6zGPnjsUYFGTtt5sh7orK7iBeJJbfvidZSCZt2d6u4aC+2qcxE6RR7BaAsFNF94oDYy
57XbJC8WqNB8YYaCBrF2sHouwcITHVBD7tAapRhXHQdLi8+7BYB0BEQKQ47BGRpajGQqCmrUoBh0
hFafTCfjy1h2EBkiTmzvJVXFuG+6BPlRV8/TtRWbRFO3vM/YiCS1Ot6hJFwrzq9T2M3BjeU06sac
DcxBpDUdEWJc503s+x+9mKb9rBE/xZhQt1weKXwBQthd62JX7pHT6CRDPjq+ABwOFGdjNALlsVdx
Qgx1tBKtcQC7ey1EGx3K2Px0JvMznKIvXDnpaoo1smljU/jexgZR5HT8jq1jqQ34auBn8LLdKMbs
ldpYdhifQ4J7jXUxEBQBtnuskcpaLaI8GzHvYIBZA90SLaFNXzrzZInwPgu9g2GMNt2Zd+NUGg9a
X1jrLDefePm5xa38s9LpaQDzu6toqJtW7lMf25KL139XahPTG5rWTZJTdlv1+Fp2KKB1/uCKaSNz
9wk93i2JSh10neyI6mbXJPkt2V0FZBnNLqFCeCW+crjedsFYrvOYj0Ai63t0ejsOOGs/ChqawGqv
yxiHgjdbh1J2Ntrg4sYLGgRdYUyjh4F622gE2Jz7OcklM/J0iXRK0+5VElh6ouyPucXPmI8wKuD6
4TeU1xS5r01TnbWXe+hyja2VwIgb/TeuFjhF9n1TD1d8cw8erC32D/FTNeOaSxOSkCyu2sw6J2F3
Febqxa2s1zHMFsCs99Lid1BMhhgGAa1IWaOxc4ieiwnOnYWxcU5OjWguOop21Whnmz7x72K34o42
5FNfDZdZxytGw19yATk/I9+kdaYzMvb+MDVTB0BeXgoLX7YsOAiNeG+6icTyJA6Zss+jOV/1jeOs
I5d8JDnLl3QsilsnNGd0lr6xMsbG3gwxeWnMkar1yBJp5RbltK5aD/bq3BxaHAHYKNMv3kgN4+v+
1qtaZx80g9rjBW/PRd0AS3XGqzzFUIjhbp/lobEPfoSq2T8C1twfYWvYv08yIX8N9/wx+BHJlv+I
Z5t/RLX96EL+bscE4/b/3I49qPzj32l9lkf9bMaW0W9AEyM9+XO++7sW2f6NJbUP41I6uMyXPuif
U+FlFLyIb3zTYabMwPhnM0ZUoQMRk425QMWMpfG/acYsn5/0y3bzh3F5MbgTdWLDz0E688dmTPgF
l3RvTzd+FzW3XjoV90h4vVeVC/uE/zF741Dzdj4r0MsIqYQw7iHeWO4wP3vB2D3Epsr3uDHAvuC+
wl3bNczSOAL92rzOF27U4Fjh2XWD5g7UIo8ffFNs2M37W1NV+mD4wUnb6IjbLu5gRTsZExiz3Kcl
SCpqKXQ/VavfiziOTqrmnhFGl27s0kRY6/sV5+D0HNg1LlfQMmHhnXpQKtBtjPGqzBSxAWrUZEIE
IcejeZM5vcLtnGXrQNbZKk5oSSSuRhU4+D3NdOaMw4XyWU3WKFh1FxuaiWiZqr7FOgoZqw7ILqtT
ChFuDa87O9pzgFUJKfptZEWvZjaRE+A0O1GVdy6Kuy1QO2PfyWjGu9A7JyI2vG1OPBjdWntMOhFs
oE8Kvsal2A7ErBykNfirBLDbqS5w54ZquJsbWGZVjvMTZtu8MlwYlRkjMkrH69RhezVMvDpGD2wo
GSsaq8RCo9DalGTeWB3ruD0x3X6vK09jQWNGiAIt3VrUYHFUz90CR4+3xgiJL1+YfCFwvlQYLH+h
9Wl32Bc/+H0LyW9YmH4auB9TcQZiJr1ZsZD/SF9dZ6AAcYDdYdFzVpnWextYoP3DIgRkHIwDKMGh
tm4VaEEzasnkADZII7jXNoW2B4YwXHiEciETMl2KsK65YMHL4orL99NdOIatHB+GGD1Ra+MnJKBD
sFmm6gV/WIJBHMAhpmARK/CI8cJJnBdiogzl7RTicQalWMwJdyJwxUAsFOgFt8iUtgK/CD4FcBNA
RhkiWppBNBZ288VZmI0B8EYA9nsiOJ7qheqo8eLBrcY8CHIfJFmdudRvFPH9V8ExvrYcFw03Td6Z
y7XiW1Ek2dmSNVdqP+XqVAWhs/GsRp8jaSfHvw/j/xNgstv8i8MYGdO5T9r/ufmStNW/EzLx8J+n
MiMyvpGEOQUwPQJssr+MyKzfSIk02coFpoPQhenZz1PZ/Q31JdIm/g8f8lnAo36eyuI3QGQ8jC3e
P6jJP9eWt/83+mLj+R/3+n9cfnMmcxeQFRHAkjBx4/7QZ/6iH2igYLTQTKObiFlPa18l4h+kkf/8
DHIZsv0yhBNs1R16VMAmiOSBA/1pb1xYygyqfNLXUeYdAQcHO23babPzCn3RjpYjRryp3TPbTbdg
z3FaWJ3vPtjY42ixcFReQBoELZrHsL70jeGTqNg7sr5IaZh6K3C5RBuzsvCGEOFC0zya1SGLC3IL
WOXtNfLPfaPAtY+WtPbMnuttq0YEMLIC5jLI29Qroz25n+amVxEBnDAV7W1EaKSxL4txVg9lM8ff
C9ScO8cCrUNsQEuoESFrwk6B+fK/tlaFs2wbi8J0HnBAIpmnmK7vOs1vkdQkmBuWC4ksfnUq6yrW
MTdAzhAtC7KjM9R7vDDnketk5XXGNWy1ZzdzHuugfWiy+UwQwrOkemOEUSv4QeJcN2IbifocxynA
nyg7EmKTIHSVV9Tz5EwUPkMJRQYS/aLJPmVW0wk9/VuVptOaDFCYaqq+aQjFOLADO/fa/BLLbMKw
hq1WhJSNfm59QnPIN1MQbCccISugqQTfCHrJTmt3Tx72fFVP1dVAUaiL7NCRY7EnTbjZJM4MVLQC
HZtcCrDG29AR9YrFJ7d3cwyb5D4m2IJrF7ZEZGQs/xh6RZh5y1ZDuYiLB9V0VzFps/hkTPl1Gii6
pyYa16Ytd7rio6qtZCvQ4zJ5Kjf4NY+6qi+jKGlRUhY2Gdgc8hZppqLUXToV5npa9Ie2JD4Hm58N
c0QAY566S03fBPyoOQ6ZnvYqNz+F7L+BL/LBycuCSSXxnas4c5O7qvQLrAQicdew/MnOgLMXAOve
t775NTPi4yyN687ynrrY2OdxKJeUVzaX/jI+PpNQdTeUxAGl9gb0/7ZlrFxIILJYIfb+2Nmb2uGF
p7k4tObwAi9PwfSNFifuOyrnizI7h4GgPqE+vJ35oYOFCYIQpVlYe6IPP+wW8q6hj0rMZyc0DoH3
rMN35c8nr4Bh6qbRtvFcBnMWnh6yapmI9p3f4c7Jzq493UZhaq0dspZXIFff8sh+c/CqkdFonQNR
RjQRN9DqpkIwnJx7+glIHiS6PPq6fRLZAAgXsY4b0+8P+KZIoEFOOyRX0P+OzGxgUQ3Wc2XEj75f
PBmVwkU87pY9MkiTUx0YJ63NedWm8gSWfJ/LnLWT124Y6GDh6UV3L8b0xN935abmO1MhumcHUWSg
uP9sp0qvAeFmB20U9psafe+19RVkUj1N4VPRhdm9Dr0WSUFubTHTN4SJdfGmNjLWmXkHuaSbiMey
DXMz8rU4D5WbXPdixpiWN0PYrvtKLt8wCyPRqg6WdWkd+l9miVE1ZsxisLnbDq1k1c8lHObVsKLe
avkwO0vJ1OdXTP5wstvufWeasKjqsd5EQ+WvLCu9GtT0UFQZs8hRYe2vWtK5AvEq5UPKO7+pe+YK
nm7Lk8/W/xJW2L30TDtOtvYXEdHpSpzUfOUwlwn30YyqjNdxyvbRFJ1TDK/kM4R3Wae+9DpYpyFZ
cymRf6FhPpDn9eY41TtwS0Ts6WFIu+9eM97kLgq/iKTuFfFkb3baM6L33pFTrJjWkp1iwUkPxxRt
ZgunJ11AgaG7maBWpgw309r+VshO76va3aTl8DY44d4VXYWfqn9nwrKrGt7mbAQ87b1YZfvs9gg0
LAV9VacPOp/OZTAeuhq7mzGmL1E8HZORr6jWlwFSZlQwcjNzed918w3QlTcdu9cqFWtfDC/jUhWN
6pR487AbBJt/bTaUzbjfZPY+1wkm/1TukRGyCcqRcXR+Qs6KhoJPUMQ6deUDcDBewRx7XlR6j0Tm
nTqHRI02Md+4CVAzILUzCFNkWdodVBq9uFONA8tsDm7hbJfBCBvwi1Py1xexd/Z7j8Ca6MSQ9y2o
BrJF1boi2BcW6gHPELCeEO++nX0YUE1Ynhz6nF6k7sMPs8tOvNabZNYkp9nBSfTTXVuZ/JqiPaWm
cWhc+R7i0BkY2olueAiFt8EPOu9aHVAwJ/Et2IjvYIRwT2PTMUWKBnROLoGb7+uwfizKbiatWh2G
CAAMrJbpbBHUkdr2uW+SdxkyqG8YXtu26nZlYVorJcR4i7U1XvlN5Gwzv3ktySfZGaZ/YwbwfMey
rhfUMPAdRlU7iCJf2dDQ3mBdfh0ryecFG8R2MmnxHJHk3zSTuo3tFDHBH5N9GeM2/P5LffaPsudX
lfOf1HGUICTuQkunCoEcYkkqrT/sATPXKooyNK7T9InAySz4Itz9/99TLJXWL5XUxKdYZj1PYTK9
lahbqhud/j+UhEuH/MdKavkzpIlIEca8uxiRf30OG0gIQOMkujFHbnkgW91Z60e2c3/9p/yxUccr
xKvlUrQyFJIkiJl/0hJGKp0cLxuimx7TXo0mo7X5HtZPvbgdB2slW0QB7unHc/4913F4df+6lbh8
kP/3r3v25YE/m4glk8C3kNShpmNmASvnnzZz8lBsiyW6FziCe/SXJsL7jVUIy3RcCiaV/q+B095i
oUBgzufov8+b+5cmgomSjaHdZahDKN6fTVxtP/Z1IafxxlS3TSS2EzyTX16Uf/P9/dMnEjcETQh6
QlaAGO1d8acWQo4e0xSv729akXKwPxvmTeDeteJghXwksTJv//r57MUz9+tX7V+ecfmNfvk629iA
E06p/iaF90IdF3XBamqVvaxnVHs3Nso/DR0cdZkB7mjlTqZTDShfw7Lrio47MCrlu8bccZQOW7Op
rsSGUT04DD9mlZs/lz7bwaoxQbFk3wNtvJYz6EjLFivm5ayOYeVCdskxkNsxpmhOUNAuSXQQmdwj
Mkh2rus5EDVZloWTLtcJkI6V11CYEbECIMwGyjsSiNUn9z4iSpQYauUlw9moQ94l1udFCNOlJoKU
/cxqkuNdCM+OqsA5KGXdDpA7mN0cS5MtDvOWKwU9h63XU2NwKw/l+zA75EjFhwGi/NYi14kJ015U
/olJlwaIp8YdzVxLHsV0Ub03P3gdPjs2bRjLHhivyYPE0pBaZX2oZWx0d/MPj0NfNEgdcqT7He3k
dVnMGONaLil6vhozqn+WcrwYojjjLj/qjGCcILw2zOya1c6LlQes9zFtrQLH2TV28lW45rfcUC7Y
PXHRlTiB19kMWXXuwnELUejIcurWBJJUhtyzejqPkz73Psi9bi5MBuzjVTuYLzUjHiEgCBTl/OTm
2A9Y0mbXSV/elllHDAD5LnN2MhVaDF2xSsg6dsu19kkGGDJIKFO+bVPvqe4gkaaGGe3soiKOuB+7
fR7aLdT8ejrnZJPtWt9GVIGKbrwRsX/f9o3FnpmAjjhudlZVnMI8ue1L42Ec4MZgDV6xSd/6SYDp
t/vmxVh1LZmCdhu3QV/0EGusDXcjxonprusVxzlWHzmK/dgMO5O8mo4rubDMjVLqYS7FbRHWxBNq
TOhdng33eorvCYo/NtBs/Mp/FVm51p7bPFamgUQ/ab6XgBZIP92TAw1vClOIIEgBjNCnOUZXZc/e
QoCM5AQ72kUq146T0OiP7Oej2zgZLsJNAfkXe2267BxLsiHDq7ZV1DZ4jOcOyq5xzZ21sTE/c1Dc
TaAHYCsgrHREuKsD51k0zMT4hqzrDCoDupLpkI1EaDR5idIhggg7GaesnR8xFcarKe9Yh6mHdDA3
KGT5WIdYC3rf/gj69INtx0XVeYrGhLCRsWUDFbZjAUxz8A8/jpm/Lz3BDOgvL73u43/W+Ufz8a/X
3vLQ36896zeGZhZeY3dB+P/p2oOfgqbLcQUhPb9G8Xi/4XeWi9dPeAtZjvLl5+xMMjtj0hZIhm1Y
j8Fe/2lW9pezsz9ZVZbp2cJEMWG4uC7PtvwSv14SnhVZLLFddWP7sJZBPy1554seU5MHbevIOrIv
3OUgNcqitNkQlvFbAW6Dtnjn49ZXYDg87Kypa9zMRrg1kT0jPvHUOV/YHXy1nidgHn5QgQhq6ad9
o9sOAD9kExLA082oZRcOiEq9O82GFZHznFbmNgcuzOjMZRpmafOaDJcBQoAY9nEYMzx3OZRKs0M4
ZQXbOW2QtkTTBjorOwdFR02m5qGXY7ExQkGCOGkn08TQC9CQu4mXGNRhMJ8GCygnGK7R7lpkyiJb
SxO1qNu4XyV/57padF91AGquH8gFR2KLg65MvwYJEugpJMWwR7uE8oOxSSnCY15xMmAc2KqSOT26
r/zKdY3xHCZEjwFxKteiSZ/I56L1yjsLS1B6o8BiuekE1m4GhyD7R0ZtEoN2/bSMNKvagkrhjGeh
YXE5dbhIY8t+Uxr5shE16zXbZdbLdX+pQJkSS67y3TwYe3R2J7e0yQwdMLgszr8Rz9k8WgfPITxm
ypJvA7rvqJyvUQKhavGIsenT5jXvQKBAt1wY3+c+9lHrAUbEtd4jMNLdWmX4BltFC1Z1KVIQWx7T
Tt5lIbBWh9zCjT1H21oU/m401NfaZh2OfJy07nEramOvzIKMmuSGsuTKcWhzC9GiM+MzQzrFbZ3I
buVnvDQmA4etoP1rmdq0ab+va+fiuTEGhUAZ63pIFSFq5SarjH2TGnisVHuZMxjbSDMaDkJ5Tyt1
YWirts00aHAqAiZoRo6lg9xolYsOM1ZmeqzamWNFLf5rHe+GtLxEInyf6mHa5Ya/jxgtk4VgPoua
ZDyEdRsLSeVUd3LjJ9FdxGDJ0ov+XyNOD741cgToM7S8hq08RjXKf7wh565vbxLV1sadUl4+f5Jx
kR089NdBVj1nIehX9oRX7aJoL/tlX9YFbyoz7zu3+eZXE7F2LLTmaEc9BlhlPAWdsWtM+0rl8XWi
1EmnKA8UkoWSWRA5Tj33cT8eZeh+Z57XU4mNjtgnfegRVlAO84Mt50tUU9lYeTISfUG1MzqS5xV7
NOv7camHiIk/jBRIjfvWLvVS0QdPJTc1GVZXjU0WbtG5KKod6MjzbT/byP4RYE9uf8dhh0i729i2
C+otgUQeUrA5bXeG8MD0l4GdoqTzLG+NjORhBkm4kkvVFy/1n92QaiMK8lqDyKIAWupEh4IRojk5
sksNaS/VpFrqSqPnk1NW+BbKpeosKD+JL331RPldUZYWS30KUf55JujQtTIH7SE1rLtUs2YTeis2
lV98IANn9lQXtH0cE6Z5WyhISr1XWzejk3+S4qG35jx+9i1ozULqe4fV7tEph3emPTsA0q9T4sEV
rndBi6u3oGJmitOKPXCelxJfP5YF7nB/QquumPI3t0GSX5nIcJBpDGu3Dq9TMuI3hMseiGEOTp7h
Pvl4QnjmYe0E4tEyXXsfszXbzLVVAStK9bY27Ivma3DrqeCegvRA1it8v3wg+xR1ro3oa+HY2ojN
ug1/K0OirBXrIKk/4hq6YDehpZR5voWd8D0KviaVd992zn3Ga8I9YJEtVuZUT/5t0dk7Mwb2GA6Z
WKHMByI6o48dh3Qf10yNkjSns+jIeOLH+T6oO9eF8u9G1zHAGZAGyXAlDKvc8oZOB9fW9wvM2ioq
wBYqQYjml4dAk5JKzRodNaji0IBg4FzFbI/AP3jv4JVYfhbNKtLCZYKvd0ZcP9gJxE+EmhiSZL/V
eFJg/bZfM5ukLQMhSON6iEfq+hK1+APw0jz0rj4Ls4X97dT7HoWkm1XXDCzzY2WNN1Gn781JbY3Q
mZj5eFeqDg6GZYyP8Tz1u7G3P7MAX0jrsbaNPbiKC0jq73rqxz5y2Rr+RT2VfDb/tpTiUb+XUgu+
FxQM4Dn3H+a/38Uh1m9UMiiMHXC81EZUMT/XkMFvEGCITWZ5R930hzUkwPvAouv36DKZFP13Sn37
B8/gn6OtpbP3bI/unnIOIjBQhT+WUrMTF7GtEtKTUDbTW83sAq13FX0zMQa63MGNLM+JPyBIHAME
UBX/3sCIRdd405MswSD+Pu8ZLrczax2DBK8sfi0bd48S4d4p/UsVcL+13pslBTt/3W1nL7vqXHYC
fMBRtUYoxXX5iMMezlxg5uu6psIxk+oNlehGuvaViwQcwurHvCgQ0/nVFgabSN2dYpdvp069dYYW
t2UWskrL+dWKvMNIpgTOnW5plN9gZz3NvjrDm3/FUFGsMtf+bozlC8v65wwQ3Er07q4JjN3szbcI
3rwVf9kewX8PNI5wuwT1mxP6ZLiG47FLuAyMCQhvKfZezZ3WIuaYCv+5Hm1NgTF5R0Tv1moMxVVq
5oyMR+OAgl2AWGjCQw9nXgl9tJGxM5S9H6v+fiJV7Sl3p4+84pCTtX+KYvOF8ABSBWCvVKa+RFnl
4kDzjK2blgf00SkpGf0V8sYjqhx2IyExS9Y3Fm3vUdg/TRSh5IUgZJj98T0zgbTmFCO5Jz4dj/Ob
QefTDxLPiAgd52W461rSToA5S5jh0yFtp73vj9sK8H/f8ppFUQ68fYpSieeCjWxz3enOirchDPE9
1HdXs3BKJpZildkdlU9R23kB1a3dsSepldl4WzsRsGra1umCj3yoR4ow1+42MjN1sdJcUGJN1hIk
+VxwyHJKrysRwBurAUMr52sZN/WK0tjeOAjzOBoV/zWyOJrbryg6uCay+jvaW7lCCrKZmGBgTsK4
FLnZvbeYHzzHuzZi2193dsXPQJGsjPg11+Kt9PW4HvTwgA0vRr9fJRtYXd/Sqv1u49uYO5rRwcuf
Iyn4KMCBMwek2xmL+6Y0ki0CGGcr3IUFDd0fj8VBxM2bn7ndDtxcvnVD/23quFUqwUJXeuM3Zg30
yzlp2VPREfeVtD5JBEF0ySOC4IkN25RRdCox9QmNJLTg80JN6WbzFZnp+1RVd4OTsjmBRFstEHpJ
aCKbz5WHMwQ8tHwJl8Bil3/xrfElmuu7JEQlLYz2PLZvpetiQZ0MdQXcaU42/Ci9Mr1sYzAQQp2D
59KIW7J0NFy0kXec3e59P6nomMXIpmV5jQ/upMvquwxIys2x5pm7esqar3/fKz/uFZdj9j/fK4+f
8Ufxb1r05VG/3yuLhoValIb7J4zn93vFIUgXKSIx3YyFF/ngz3uFcD7hcndgtUaQvHjA/tmic+Ug
b0F1GPzQHOIb+y9adNdadhV/vFekxITMczGiZnyOKf/XFh2OO2ms/Bo3QxBn7SZ1IJK6Jm7c0jj1
ecTgUhCVZAwTBVp/1ONkrRQgra01BKfOzeS64trcRen06BuKsicFJFxaSb7CbrFN++prZGt8ZXPH
0GoPH7U3No7RP7f+LO4nbAN72cjwHIuJVk97G1nbzrryhuYCsrVH3G3HUCWtL13YfjehFx+IosXW
nYJHlarNtonmVLb0nYeb8q7mu0QzOQI8yTHRNKT7rfKAQixC47uagiqgwi62vs5AovbGwUq9cJuC
AV35ffLNKm2NUXfha3dlOhxkG2KNrWbglE4WobIurZvQJlVX9yX/BuDx4OFvXlU8/ZzkWEeBkvEs
NPkzS7ZV4/jo1ZyRw5xhhIr5HtqHrgE1iFLto8sdqD0RFirVDe5qCNN75bZrNtZXg2ESWSwh8JOL
gro+JoWp6QGn9HW8bmLJHMQ3Fhn2Q9A0hyo2/aNbz7fNmE0bRwYvNJJfVaOua5bxWNHiEwqnW4Bt
j9FARtOIlXfAFN9U4mj2wcVtAXyThC5xWwuPDk29pmN+wlj+ptMOXUlgfNeRT9BoR+RtPry7ZfBZ
lV59tASlcFoCuywlL8uQE+HnxFF8TsgfY2zQJoDV1K0/pc/0wgX2We6/vHT1FqHpuC1UCTOxbV/k
0L75UpMebKttFuGpmKKEAUlePyvO6F1h0oxpX0ab1tSPirc+z+3BWScDafAQ4xjWMsBeR6K/rVr8
IaY3wuuZEQBW3SsSxW8Q38UudKxvFSl+O8RFC33AZpLvsx8ovWEntROu57qNeHpcv71JiWWC5MT3
a7GjroRzNIgm20dIdNeOr/giKP/7hIFXZO0XZ5mZBiAFtlbaomSX7XekhpLfdirWfPerdVVm+Q7Q
NRiFkCl0ExCInPAdCTXA2EHF8ya0SCHIEbBgN9xHA7KS2Nc3zhAebLfE3FjeyMw/Gkay6+0jvX04
XgJ+Ziu6h4oVxVpOHjEv8sULihucRBD5nXTahKneZ3BTzTr5bMvu1ctjptgaea1KK1D02AfWCuzd
qkvLncqqCxvUfYsjpo36Y1ZH566AW2/Z7TpB/2LnwwGMPuUV1RYWb31T5PZ88s38LW6Ta1cSVCnN
0TumtXe2g+I66ap9bjhMXdoJw1GWAVaQ9KJRbPkA6K3k2KfJ2e4TbG7VW25pLDljiwXACp+E5770
TXtjF5nYx6iHNzq15NqNAdQ3ZUfWW+Qx6eq7fSRQfkF30Wto5PejDF8ALpTAqXCTg6fl6OFxUZFr
omtyQM3ZMZybz7p0xNae82UGZx8Qz87rmChg7OBZvh66+MUOnbtuxFLiJP1ERmMrNtnQyENWm99d
EK4iSc5JHLPNyGno85LE8CJ5m6XzGIa8702ocLV3mDwRQN2jMCQzEohT5JR3toFwy5p9LuV+3y0S
mrr0Q3yFw13DdCUs7cchbild4G547IswOSJG8Yq7vC7JhU6MUzzmT4nblRuz0yc5+dthSTlmvOqu
05q4J1mSUJdj/dnMZnxBR2TgElIa703+PZrDR0iQDCMsCh0nQXWm4/RbUxGMqohkNf1x3tCMkPCE
X/RqjDD9dH6180ZyI+Z6vpsYGW5h7DMQDKIHza6itxFThdVVEBTDTlT/y9557DaynWv7VgzPS6gc
Bj7AYRSVY7e6JwUqVc65rv5/lsLeCuy2+1AD/oBpwIabVLG4aoUvvKE8oNeKnonieyQJyUDbw2ym
sUnrhp7QTUIMgvjWGhuiALyx30xtWpRmk1yrRns0okI8wXd0rrf6ogSShZ7HYZCXRLpuvT8yifDd
NIMJadIS0uvdqOTHhsee3Qs1DEKtQikfamQh655MpPfmVsDqrAbEmDTlRwYaDrxZNOkpzLkRjkk1
u6lXL/SWSQC8ip07pwsY2zMjAkfdD9YVDcLjUTceopqNMtDMDAl8AUGDMlkDFFG0DqPCyjktndFb
qnr3LWbegg+kR2l1pT9tVWnCQjunW9MSU47ADgdvzdlZzrPAbyaST1UA/CtsZZuioGRRjimr8iaI
lEsjbWKYes61YtU/wogwEdYVNQK8pBDHzxV2ENhhqn1L2tMvS6dccH+38JaySWpn95WLwpgTKkSp
vjaeIFRs4HpfnHHmAQbkvS73D2sH6DaJwlTLpQyhiObeFbBv2SruNcRowtBBhVxyKepg56IA85ro
3uAvYGG3ICprfeKGiH+wyoqpaxsnPlC2WZ4HKcU5eIyNtz8guja32CclVBg6Kb0cstEHRRr+xPjl
zsBOieQ2WcIJXxJH8Azc9lKBTEQhtrAORsla5bVQqUipoZMYWZTlR3SRJaU6pWg/84bkMZKjbIoI
xmlv0V2DonokY2mAomf+CKHUo3Hg/OiEaoxUJJR4UnMd+cCbcgA3Mjii8xK9ZHbzynGP9dZf+oFu
4LdChXoFwsgpTrI4znxzUgYyyRekyHacy4pT+M/yaf/tdxkEsL+Jo8sAJ4Hhc69L/NlfgTQUHYQS
FCwDRBFGoKTfBNJPyCVDgTcDtOmlOqMTeov2lqUA1NEIuQiwXxtdzh7/joAkgjI0qVDL/JMomjju
UxTNlg8YXXX4H0BUfNPbKBqF7t4siio5S8E568eV2rAjDU1AaYDWaqc6ACtbyg+s2TsaEj9HsQJ6
lgKEUlob1u3Qdv48Z7GUNIQKsXqAeMfosVgnslhZklhjcHRYbWLdGWIFqmItIml+IonViZRMDXYx
O62G+l4SK9hwuntdrGkfRkQjVnlmB4e9WPeaEx5LbASlnBmzTOwNfg2Qshb7hTWUqL4AriXmvG0x
rx6TaFjKbDISm42PJRMiNt6+ZdUnKU2RSSS2JaPofnREpXE9xNOQnUsz6huPUtsSVqq9hKxqnnq4
oGM3g28SKm/lXGEXJKvNlpSXEEFhhwwQtct0ghd/VC8BNxQTHGPPe1U+SGTjQa+TpVZ260qHwasO
0bTEwbEHC4ATE5929hO5vGngsWQ9HXWMoW6yyrxxwlutozCua3eV49yVanVajsF3I+vvIhhXM3Tv
RjqB5pnEzQK+6PYTP4CwWEPJHqXGW9DNuqwC7QQE8clIk2wayuC8BzUG4FvYySpUqmJiKEgPUKI5
kwwULLD7Q31R8tFj7pXD0De9ZSg15qLw0EKHOT63q/7arDAh71B7xInlwM6AYsvEbvmgo44YFUgm
5qm6HOpuCUobImLQEBFjvrqMLL+chTIOgGbr9nOjUfGYZKuaWoOKxHv3zbUtZHubM1NuAByl6HVJ
TrEscbuBVkA5LIIoBaVp0tcd9NtuBI0nl6tEwhqxVCV3CUTQnXZ4LMgWgjY8Cj4JeVsqL9DyOes8
eeWFVj811RCMKPKTtb7vKMAvo9G8rmHMyon3rcrqBzJfiYqfmiHEiYxIWzj+wm7GG5jX+cxTMUGy
8u9S02AAWHXXEns17U0cxUZw/3OtjS4HScVYQcVQR1Gyx4S4FJvM/FgfnNNIRxOpHnoYYlkHPL/t
5r0NLMbqEIGWwtLGESDAkAGfn65G8CLSyn5du3k4kyscZLQSQwktCr83ONPEwbVWC1aAE1hz1tpM
11tiktqqlylmTROjQ+O+V1R3quFsgB/SsQ4pe5aEgTYbJekcWoY/H9ICCLJKzJvCsKW+irII8vLT
3htXRPnrCO9lMdcude1AGjivKIJKXnmRWdUc8YVwRiQ5tzGlQC/uEWYLnVFLfyxH+YdTOfgMxSc5
rlgqUjMT0B7+3IQZTUkKHn5TrWN9TBANXaFTDQDWEQoO8BqYeyGRtz4t7eFRrcqfntQcdll9HufS
MTzqaIEN72yMAOI69DAVGV9oI+3USYjjDiVeH1+uun7MpYQsuu9U3JasdVCUP1H+xS8RhYKJmhGy
oyVuHtQN3PbKkGza8zTkORsn5kAY1MbmXa3Y1FRhV83YkA8rqezpfDYgpsf2ANJ2O1VL78L0+3UI
1Y7SW0Svuqhi3CdpFFV6sW8mIGT8YBR42csaSRdB95vHvd/NEBnDDiE1ShZdxpKwTZyWgnCe9S6H
NhZleuP2U0vyLl1XP81y59Jx9X2tH2yCZAfz0iFGhSM/8ZDhXcAMjm+QWQrw6QAHJlsq/SGxsI3w
O0LwsNXaDhkcB/Mt6hK3fZqZk0YPoEmnB2zoF4OetfsFPXp0qprznJgS8qAxa2FaLGHYo0FbafrE
MPGnt9MD+A/6NCpihPja88DQoQKSILgBBqlWVirz1Iv527a9NLA22x/T5pbOOETwvHQnaqr6UzMs
YGaM0qOjE7fXfhksbUc6T4fs1tRY20VsoS6SCOc4aNbQOsYU8K1DbSErbtBnd6e1DSo6GdCo0NCk
nfgQlGYZe7aRp/IihC65iAUo3gm+w7BDFcNNF/hUIRzCI59w3JXTTgMJXvfAtVArYkyRSViRHyBm
rqNYixgai8aAK6m31/4QnXecidM6hC8ZGND7DctATAQOy6SxqWo2If9mx8LDVhrRYtPDY0RvM+AF
WNB5cgfdJTKvDZR30VW7NzLjDGebh54e4wTcI3QAmI1dCWvIbNIjAMIFtj7jMec/eu5Wug/Ba1XH
eTnVB7UBly1nN8CY4lU1FteaysKPU+27hCIcqpj3XREvHDe85rCXD9G0IcW0nVUFttgKiivsJPY1
CS9OHCl6xPqANAx6t+8a2kRwtZAI0pELI+KfqZZ1F/QZEgZQrKZFlo+LIbMvFDcp5gbZLGDEPp3n
OWr5bdy4K7kc1qbEZKj9Vl1EkY0tFomu7UoHgeetS6CjHlQawFc5qnsZf2/lZ1kESAtVJG8Oi+ou
x3RlgSzdD12mtBUW5pncmN8yrM3dPO73R097DGWqFVqL4YaqlhCE+xRjNQtGSW1ilCxnA9MvxIdV
CQZnAiHmh1m1J2BYgjkgRKxWJXZtf6CGDrOhIxQP13KqHqOR5k/rwA2J3PPDoMVnTK/L5TAinNdo
wthUjvZDGqFTDNw470SlvVDddJohMDA3Hfve95AKwtysXAAgkdEjaNsZYkHUDkaxq5rfEySg6XEg
3J8U0pVfdtcUU0h2AmeadTEtEFhkXmPjKFZlBd6A/mVtIh/oxvWq8ZpqmsjOtZ42Z16M0xCgAcpQ
uYSsn8l60tp60XtSjNJEupKInFiQoYw2TXWbe4nwj2TZ45dAixdEptxRMQoeOpo0Um4+mrJ0JWk2
h0BCXx3a2qMl+vVqrN61Q3nocJJPBsu4q1priV8BlkWecuCmWgrwqMUH04y+e0mC9FxfqlO7Maeh
lEAwuZVtchkHEoStS9lEacKDXEhs5k2ID3qA4QhUtwlt8R8eFgmoOYZXCsnMBFDuhZWA9VQxJdGd
7nsvlHVNf4SRkmfpvKg1bwqcAuRFVPBzdHgedgdrLsv0Q7ugamcP9M+sAuPlrns0Vep3zJl+7kXa
Qm6bm7xl6fqlco7HGl7Fg3asmQHlOAMxI1Aml2bAMzIsqBKZ37NPl+lxr5eo2Jk69cj6LkyGaorB
zfeix2E3aeTrMQ4O+iG+om2YzDrIPJkl37Yt1kd2h7aRUyPBiSbbUV6Vi1Tu7Yk8oLoI9Ctj1oYP
DrGx32JoR5fyYUzKg9Gh2umV40pV0xvkLma1FV7nLY27iijPitj6EB5BE9TpLJBmATfZWEu5Lx9N
n5DOynqsJ4j5WlhfQRzeNFa6cl13hhbfmibjbVg3p7peHODdpMy8pF+gTMlJqWETXFgXva/MewNi
s1tkl5QH9mmRrRwDV145PKvp7A+BgqiQRm/IFS6q7RGw3lUT5NPYkFt0+0IFdQnPUqPzOB3NmwEN
T/ukkLArO4+NGpbMIOALRi79l2jwbL1g0Nr4TQ7aALd82JCCCpXidVX/65+SgiMM5BhKMQg0kDeK
rsxrCgqLmd48BGbDgX/yTs3P3CMgEsmmIcs0UsBU/pWFGntCawLNdGgLSAEC7fyDXo5qCwzA214O
X+woOmad/Dd8almwfN5g8qH/ygXc++YEK1UKYlDJkOv1SdBqayK3UFXLGBIZajxD5h4Hpd3NDKWr
pmXaniVVtrIcVyKGg8vitMWskoJDv+EEtuBaZYDlZTm6bwkSkaBsOVYkIL9upx5no6C6yaY3Tar8
FD0cCGb4zFf6DTpAIDJ9h9q7kN10pHER65IE7dWnK4wcqIVV4yTIw28ALn/mQ3bd+qRWWY2+jGua
38oCCbw+/V470nc3hXwLawho9HEb+Uf0sH9WmU3Y61hnpWZgJuvZ84QfBno5MJc0nQ8aJfuB3syA
64o2cllSxiLu4HB114Oal3Ov7ha6Dn5aDfHz1DsK8oih3Rc+kqV2bB5VdXzVkeJObazLjMi+yALn
HiDeGU10jAAKUhDZC+u523Undt4iOJHe4Z3+wy2QMs/SO8oZoKaj0ps3qH/tV0j3ebmzH6BsqIfe
z1iFJZnHdj7rcBamFJfddYpzDGahniUD4Phc1cbZgE/WgoJTOQUBfFRXSFHo7hGx4WykKkos0S3k
sjvwHGdfkCdx6HrE1vUB0fsrDb4xOrs3iTeig2pxkzwkRy7BJ3Q4GaoyyZraF+Y5DZhj3+kf49BB
Rwt0aSa78rQpw2qCCup33TMu9BpXQzuIrnRPfWxUs10Ngfhzgzge25ubRGr2q8ynwW2YxB5QQWnW
hTT84h+QNSJqFc2J6hsyQqpYx4McMSYyshZIIi1kC5k1uPHLovYz0lOooU3OUwMZ1k1Vw6QIQhW/
gKFr4qi4dCtCC6KnA8oS3qwMEUs2uvHCio1llxqLhqNsqo8I++GiC4m87pWJjYDYjKosVXALcXl7
ZBIPFc8wUXNv3pXjJbR2vjW1OXHbhSs3l6OtHQQdmD5LpbNXFa4382Kwa5CC7+qsv7EpaE0sM7+V
lawEYOxOy64H5ygH+2hL4Lsm+fsyLsAzyYINIMvZ0hzkpSJjCgA13tmv/W7AEc5+SMLiiMy1neRV
mM8pZaxMbxjQrGzTOYfKdVYYMDIARDIbkwlJyG0lBIvkUjEn+gg4ksqTeqinyMX1cPu8Vaw6vjaL
ou67akdlOy+lyg++MQxufarWFqQHMzC0hekmcnplkd9kM73OkbXETKPyp+QF1hlFqQChjgJ2pFb0
3o+gyedVzBSa6L7unuRVRYGEmr4NLkI2vH3fohPgF7Igihv9Ocx9HI6LQJv3Vqsh3GfH44wGXlWs
GkuG9l0EUBqnKD/E2LYOGqDwGPCq2RdLOdTUm6ijAXccp3nDPhP7yqw3rTvZw0+Q/uhQghfpqIIJ
m1rdKFAqUy3vSq6tuPqhuq3HCa2NKtxlOTHdn5ERII4nYzQo0QvukZ97OiX+W7LFuew3x+WP5na9
4bDkb14PS9SWwCjoLFyOtycqwV+HJW+hOYsbLJA6m7OPI/ZvQJ0J5tTguFT5yJOt0WvJ1kbTHzNl
h7eebGH/qGSLhsiHw5LvQM7JFEezY5ioQr0/LOO6rGXQoPJpHWY3NAyNpRlp0qEqNfAQbCVHMqgD
5p8i3N1HbrXIAJNO60o/KDMD+/GUykegO8ZRSad5otuRMNQ0l23XXMZ2nx+XozTNWxr5tX2ntLiO
qkmHvhHA2xEfYwc/YzTw5Bnkm2UjbGJSRzSLO/26wwVZD/z0qvA8dNrz/A5LLiDN+XWp6Dn5vBZM
TNyU4wFb5awiUyxwWu6F5bKHGHd6jmLKEgd6apGaeeianTOvO9mdJp3kYuRd0omLEaRz67XVeHdu
YkMyH1Lsw4a8WNmpg61PJl0AzY3PnBpmVWLCL4g1Tg13sKyZi2z+lJ4grAp3oDGtl2xa2n0VmMi3
FSd2HRCB+9FNoGpXdebkMylUH/KIpr87etclu1qA2FJjksImKNm5hXNPYJGCXPL3I6c/T+XwuIJ0
n6TeYTg6Vwry7ygpiHK0Kl/lFkJ/Iw+h9vN6GrvkjmptrIem6pHHr27sDtGGKgcZX3BwwGE4ow+n
zHw3OA8ccmQp6ezuYBggvCOT/SiDjpJBSdljcNgK2JQWVheNCTSrJwhHRJyEzAJlFQIwoBUbzyzK
ZYI+1xQ8MNWieIuvXbRvZ/iYBmllnzpqPixjqIsTlBBXcPcc8MHlg1q0CFOOlncuieLaGBg4V7do
zg/qY4yWEa0lExEnEM3OCQKA3jRNywiZCeQtagMJ2JTN8MDD/cCHNTKVY/sUAgRdf9OhzjdQHI1g
WFQKMU+pnuRZDkcM/sOkDnSKNQ1cEsWQlmFPoknO/9PM/W9RBOmibAAiqD5qzypUkwr3PhrZQDns
CkkxQIKKm90mCNs1iqYfUPU8V+z8EbnmeeODkoC8N00js5zKdamtTHzsczM56Gtjrnva6aBEp0QG
PfovpKFyFn6XO/faSHAspaWWTX3Jui5rz+C21SM3VyukSqjU0jAWeunyRTLUB3IXLIsovAgCb242
8Y9OLm9RL8vgzmEWMFCTsMuomUGMANEgp5R6GFxDlw7AouhLUxbkGmeIyLWtI7lQ7mx11GZVPXzP
NbWZtEq+yCtOvqwei9nQt6vIHeVpm8onXdzd+oz13NRyl0Z4UBAC5zdamh87WUWZMVuEPoU6Gx+B
WkamoxT13LgrIP5lGfJbzWFPFR/wTBxBUjXu68447gpwp4kdHhUuOX6QJ8hmqeoy9KufdlgcQsC/
VqLxmyJV59wfLVXdmDidgwsGgHZueOaNbTdzlOjYLog1mlG+qBzt51A7+amnQ1zCbbA/QGhXWqHv
SYWBQlobFZd6Iz34eXRhm6kxzRMqghNdc6uVa3GVsfSN/QTNw9JFKjvUkGZMEvU8lClj25puEqtV
yJxlVoR/M5N4oD4Het8C0YQGGnIG8QzOFN0Erz8PEVHCBkG+s0fojP89Z58hhvQKf52WfntI62YT
dl20GF+PWsXmPBWgcBqTiOq8bY0+5aVCDcHA4VR+Isa/HrX6HobVqoXwO6e0Sh76d16q7XHEqkjT
a4IEL976g7xUZJ1vs1Jc1UmXFYGgVwyHTvv7g7aXcacsy5SsVCRg6K55FeYGpG5vxuXs+YJvJSyU
J9mFD18EaFLXqewCkZf1D+mvEtdtYYZ6juK14VxHfgGmLbHiYdwH/Uh3S6vTRl8hJjJewhzBSNRU
cICx0aTPsxDLOG9wDhUryWm9lEZ/Rk3rQhsy1N/NwbOqwzYKK+1nS8Jkn3Vu0baLUMn0WYuH78TE
Tx1/rBiifZDnmTqnGNm0UyRtsEkNKpcCVDQ4cwNFOnlWpXdGrHcnFqr6p3oj5/FUyaN4WGRur03j
FkhIjAAXMJQu007lVjGiozYOT8saBZwkT3tKVmeaIj8YVX6fIrbrVvKVhTpJ2mlLQzIz9HD5FYCj
5w6AcSeZG32ycgfsUrQoCWZVqczioXj0bf+Ccu6JouaPjdZexoqHkjAswh9WBBvIgZZ3LFl5CfnM
MA/iADE/bETm48henUqS9qiHVbqvu/hepHWRz5GZIiaKJWOudjaGd85JlcLZA54CUARN8GWdWteD
It3EKq4nWejDm6lrTwXGD4WfaYGQMUWPgD6YuATEIIXT5brUa62fmXbqX1ReK80b1PqgE8j9jR4H
A6OoZhAXIkqqulQOs9AYLwqzhmZPQefk93NMFX38D1NMVw0ZwCRho6gCvZ/LxVASlSF9cIKw7ppD
R7mEtj+RJsW03k/3XYSjZt48WVpzlDcnxoG+0OZQ16b/1sxM6Dn8fR8okGiWRenIMQ1RVEKn9/19
GD1cc1xishMkyw+G2O+nkVe46LXrdEStyJkXrSvo/SaJI3bzx55VugcKz8iMimQ6WMOJ46LayXn4
s+4zZ1GpHJV1nS9ce/xpGS4Ogi4Rmjv234uYAEwti2FqVXAyAU6psO3pVBl+Px80Z9kpKbgDPF10
24WK4uyPGjBYDjZdN4jDcOGmSEPgkaT7NCZmmUZMksn5vOu8I9WF+RBh+DNrkWtKkhCqbFucdIC5
loUXEpNo3rVHHK5oyXHT2zJBQr6UIyaa5RR0OeTw8veP+D0eWmi7wKOW0dLQsU8lF/mwiTij2jl5
4pYncosHJBsBvOUSzWIp8OdGBjlELzwyo7929A07l6p9fJofvvPD05T61irbyKtOCk/7Ybh0jRsP
6F5l7etJA9feJcgzYQtbMC2MmKI3zcLhaCwbJIYk4ygL7Bs5oGTdVtIjOTEy1cWxmpnnsjveGV7x
M+mCYlbg/3z4dOP/zX2FT8pfT1CY3b2Y2AkHm3/98we08w25L3/zeiCT4LIuARwppKykszzw10Ix
SjXQAagFYw4usze9yX1JcOEJQBgTaa4gfP19IGNNR78LgWIUMvnQn8GVwPW/m3CQyUAdm3jMQFqz
VBj63MTbQnFddmEaq2F/mteUfHMbprpbXtVq4k9DlfLjqKTZVdAqMRWjJLmsGrfcl2Sl2W9GF9tV
WIoeCsP1pNC1EzSV5Tm1qZ5tJYTParbQdmRk74v21mm6/CobiJjpc/dnDlYDU8Jca+o0bnalV+1x
KVPjqVMc2DCaPk28AsX1LvUuIIely8ZQtbnXusqsUpRr0sV4P461ZhmyO2BittIG+8ormnLR62gG
mmwhp3HQJ1PCoJ+SbNKF7uxv6agG1wX2I8c+ee4CNXvI5hGHqMIQnAaK7S56uXb2iywDAdup5qRO
8P3ocsuZxZ5G4yYda1qO6DAjjjHR85BkvUmOGqD5kSP96Ih9cOtqsB2nw2n4ZJSNPo8sT56rXnsQ
lRLydfY3RvM4y4D7yzXHFV4yySSN/J9Gq697EyACxYbvXhF9L40U5IPvITTjBZe1TpCtxRIN+hRC
s+l5+9HISS+ZyYPm0TjrU/PARMYFKCqMB2zIw0UtGd7Cdzu0O43xBw8aCU4zv8wk90SPh1ty3X0N
AT5+iXbvDtWZVKXtUWTbSM/Uo0x13j7RRof0wx1PjIxHWuf9rBg68OXaraqV38cuupPcnF3c9w+i
uD81O0BsVi76xR6iI6jpr5BCMgBQwonqPOcUAEQ9VRMdToV5lPUJBGtLAzSm+D9ybzzXdRh4heVP
pH6UkM6J8NwCrjw17SKyTzEECLVb6kXGsLIogM8xIjuEXjYCslZKb4aiZjXxLeNBqoC0NAJrIg2L
J9Kc64QGOOr4ALvgcmLhn0Y/VDnSLHyC4hbIlSsrnNiGHSwHI0KyENtDeNiI3htGO23tEvyIFyE0
kOuAGfB0CBKUA7LQWVCzoGgdjQwy4d1KGqoCKZwI70MW+FRmpmpefhGnKWIQgb7qbQc3FRRUr1Lf
hdKlo8yUpf0EwyLiPMcEh+bST9blFLig+zAA5QoApK0iw7gqaxceRVpP0XiaUsw60SuUWxAyNGn3
NjKEbHMl2aV+atW0bAlO6mmuBOiAlvplG5GNurVxJCNGPXXgf09lyTgo4yY4UIbssNBjZVVk+H54
tYMI9E2luKdS5y260eoXtESWNe7XKHQn5bIawBSCO5zZRXzrx8bCznKWOsskzxGzVpPkZ466dW8h
cx1Jlj2LhfS13yGC7Qo5bGCzMOWolFEPdk/agnZ26JhzdXCwSktb5jkhAgoU/fmggKxAEIpexzDa
k0ZIcctFjS5/lenLwXMR6haS3XmRHkLAtOaDkPOuhLB3ESrSUs8Q+86K/NyUQESP6ICjJ3QDkEk7
U0PsDdj9opVE9W7qo4cg0fzxhKC4ibJ4YYXeY4XWuOOzjM8t9MfHUCiRp45QJf//5fx8OeI3+rj+
JfEi3j3LAIFdZZ/MXv+jD70mjZsv9Gtj2LeHK2r0JIzvDuOne3pypf3dJeI1MJ3mnvNas/Y4V6mF
KQ6+4byI2uMs9V7eJg1w9gDOkZ5yXj+93j7GzTf/2Q/3VyP1fx0EzmRyf2DRq/t//fO5gy1/LBX8
JyPBdd4MhYNgkINsIYYGTy/x7tuhEEJ6sk1gILJnRv3NRPm//cD/ZKB+/Rg3DIJGMPPH0+H9IKD7
94T5hvP4+rw/DoKOSp9hv2gT7t4giG7FdoMgKKbIGQjV9ecXMer7QZD3TN7W6c/s6EyQearbDYIG
akNRYZCT7T29yLPfDwKBPFsH8pHsGTu5HATIY8tBwMaELMXB+OQXg6DuUd+3DSqLuzoIH2naf74x
UkJ1UPFgSWweBM4ISi4WmpHPm/Du7QmisLrlTMCtlDqyymzfPAjktRBsFCrGz/vPrg2CeHZbD4K1
R6EcmBbFn6cX29/7PUHdQ8SV9P15+9m1MTBkbft90QbNxnpAS/cXY6Ds0TXgP+yd4rWzu+PzjT2b
cfwVyf2b2PF9sEDpRZRqaCx8nAcyO8KTFM9zWLmzY8DJvuW+YAsXY7YFgWIULzFC76JGYgWmCifp
bu4Lotr2BYMgtMVpZr0MwqeASd2jwQWgRMyU3YwVto8alT1LtD5UETCI16fNUSfB0DU2x53dHbeP
FSCPgk2i+PhyTH4aBHmPuBkYrrarSZTonW69J1jQcBmE54kgDt6PewLxJEgtIa7Oa1e3R3X7iMEW
jlPip77UFz7tDEDhBMAbevDza1f3h+f4fpvTErA7QHaDmvdfP/XdrBBhNH5ahq3s6tIQqP4tl4YG
TUDGfeJ54m+oN1l79G+BMVrPc2/3QkjhcrnlIJBa0+ZSEE7/uDGQTgKgRMlwV4+IT9DXP08nyaQo
r/DzfxUxUVhA2stGFmxHNwMh5r3dFKDEJKC/Okiij1NA3wNcA10GbNHTa1fHYPu9gKAQ4qshdv+n
18ezQTH2UG9nppBjiNeuHpP682Ld7mxAuA5+kmI+P/RPxTZqzwjR0Tjf1SxC+YpBQOyPnRGBx9ep
//6AFLmWY6JvsqvFtk+GPX++O1rCgYBWJYq5T69PATQlFhU/H4jru7ozPG/b2ywHgyDgqfT8Eibw
U9/PBOepLktF7jlY370oQd/6iNB00DAyLQZ6c5uXA6057FEFpvP1fQ6l3RsKZfvWnLnHk6awqL8s
io8JlehS8h7F2V2dDwLntF3IQKsW/SQgyfovWrWqvKfZ2HkhsrSrO8P2DRkWPvGCBY34KST4XG5T
oUIZCsLju3pQCmDsdjNBBI+sBxRAXhb+hjPCoXHHxrCrZ8RL9WebM+KppGgZRJAfDwcM6lAUBin4
slvs6mp43qu2GQMd9X1V1QB9P58An4bC3sPniCI9K2aXI2jxDLdbE5pGMkGZyTZ/1aSkd2VoxM87
m0a8tJC3mQ/mHr0IigfWC4TlY9zEESGbtK4A8+zqoti+usI5KdwgaPZtXhTgeNCnEIHVrqYR6vbB
41MawTywXzAsH2cCEZNjoq5Ox2ang8eXXsk2i4KKomyiimm+FFQ+bpIsCh3VNfbI3W7YvuBsthkK
UXrjcSP7+Rw9fZwVKuw2CB4Igu5qHC3MVrc8KSiwAeMjPHgJIT+VncBEEj7RttjRPfIlvt9iIiD/
ShYhxHBeIshPVUh5z4DNpTvKruYSL+30LQZBIzgCsGMLKudrdPSuyiAAn1BD6ZDvai4hSHhbrgYx
CEJl6WVz/NS15qCg3kQT76XvsXv1BSFrvOUgmHtYRD9Rep9nwsctQYC7gC/AetvVvozoI2w5CMwE
EBw6RZRfDAKVR0CvMjHFrm6M22dUzHYE+zB2eYmgN8wE9JKxuN/ZQvwngt6f16ABfFoU4XnUH1Jr
1gFvWCjC7GphQXD/t1wHwHTw5tXkX2F+xY7o0LMy5V3NH7TnQ3ubsxG3Y4PTkWTyOT34WHFlJmC2
J9PC3NWzUdt+MyCTJI/UsSj8xY6Ix7RDVdpxnneLXV0UGGFtuygMFgUS2mC3nofiU+YAzJFmDWyA
XY2aX/pl2ywKMklqaZSef5VJKnv0JhVOh11F8Ohb7wwUn8H5U19FUeXpRTDwMWqm+Ip9xEtIsnsB
o779crDoN8nAdMxftSGEwpsovUJHF0tvBwdh+4MSGBNKdQBVnusm8qdYSd7jTVqYpFDitavb48tq
3WJnIJ8G20dg/EqM+HRcqsgQAWah+rqj8+GTneMfh43sDCB1TDoSv2hYk08DgydiUJ7P012dD5/U
kP94KDQa1hoKUuB1nma+mPrvNsmnGFKcFS994f9of/gPPvQX93jqB/H9EzUZ+7onUscz2/TffuCV
k/v5Am84t0/M43efvBryh+drPzNzxf//n/V9EqSzoKrL4K5WnzbBN+++bopP3/Ty9y8/8fOXv/uy
19/1+o/7mFivyzvE9Z5YwS83+qxI8r8xwiT364+MYVEGff038d3/+uf7m30TMP3+6vgNPbxe6A0d
mQr+3z/1/3rxZH2fla8XenNxZtPWF580db3pxjnOt772dB2vWx5J9XqtN/fO/rf99dGyrz49Ug4Z
zrQvuHhal+t/TLOq3vQVRHZbf8XsIf7HSVZuHH/Sqa2vP4//MctKJs/rtd6MP1nR1tdflFhibro4
wc7WF1/GD2n6ep03N/4Vy3W/SW6z+L7+fHkB6d361ldJ/lAG6/j1Un/fvfIVS3aFPc2GS3/Fij18
KDeMuSj+bz0oh0HqbdgIBCps62sfraMNe5jgT3zBpavqYdOYfMUCPcqqf/xv6j3ED5tG5iuW6PH6
ng34dRzeTMSvWKLHa1wJN1z7K5aouHaebdrdRVd868d6/JDeZ3fBpt1L9Fe/4Prl3cP964X+HnfR
x97+4hn3/nqdN9f+imV6nG0ck69YpVy6figfhg13/hUr9WSdb5joovqw9YCfPLTrz7GjgSX9F1z8
tFyzBbxe6M3j/Iolehav7x42xI6iPLf1sJzFTbIpuNO+YoVeBISOVXC/YWQE/2zrm79c35WkBGm9
4SwV8gBf8AXpPyYPmFxs+oKvWKqXa/EFZbou7zduZAIj8SW/YhY8eJt+xFesWvEjFqyAu6C62/Qd
X7F8xXccZOui2XRaif7Al4zSURNU/zi9Dap80+/4isUsfsfxun7YdP2vWM9cHx3Pybq8XW+KGQSX
4StGiu+Y4iS1YbMWtfmv+oayGV8v9veeKiha23+Bj9nVprv/kkVNDWPj0HzJYg6qCAfh5nUQ3gzM
l6zlLF5vih5Eb3D7UScwSTaN+pes33qNCGW8bqrXO30zNF+ydEWZZcM5LBSJth6aqwd/vWloRC13
+4v/1nn8qdC2ReHs6neecttfnAJRsqkuJ8qtW4/M740Htr3530gob33pXzsT/f7Sm8qyfzW1Phdr
X4UNN/3Z+1q0+MRd/LAu/+f/AQAA//8=</cx:binary>
              </cx:geoCache>
            </cx:geography>
          </cx:layoutPr>
          <cx:valueColors>
            <cx:minColor>
              <a:srgbClr val="FFC000"/>
            </cx:minColor>
            <cx:maxColor>
              <a:srgbClr val="FF000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chandoo.org/wp/excel-school-program/" TargetMode="Externa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microsoft.com/office/2014/relationships/chartEx" Target="../charts/chartEx4.xml"/><Relationship Id="rId2" Type="http://schemas.openxmlformats.org/officeDocument/2006/relationships/image" Target="../media/image4.emf"/><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60960</xdr:colOff>
      <xdr:row>12</xdr:row>
      <xdr:rowOff>76200</xdr:rowOff>
    </xdr:from>
    <xdr:to>
      <xdr:col>11</xdr:col>
      <xdr:colOff>289560</xdr:colOff>
      <xdr:row>27</xdr:row>
      <xdr:rowOff>76200</xdr:rowOff>
    </xdr:to>
    <xdr:graphicFrame macro="">
      <xdr:nvGraphicFramePr>
        <xdr:cNvPr id="2" name="Chart 1">
          <a:extLst>
            <a:ext uri="{FF2B5EF4-FFF2-40B4-BE49-F238E27FC236}">
              <a16:creationId xmlns:a16="http://schemas.microsoft.com/office/drawing/2014/main" id="{318C05EF-9D33-C9B9-B1E0-D0A1F53F5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297180</xdr:colOff>
      <xdr:row>28</xdr:row>
      <xdr:rowOff>160020</xdr:rowOff>
    </xdr:from>
    <xdr:to>
      <xdr:col>14</xdr:col>
      <xdr:colOff>144780</xdr:colOff>
      <xdr:row>43</xdr:row>
      <xdr:rowOff>160020</xdr:rowOff>
    </xdr:to>
    <xdr:graphicFrame macro="">
      <xdr:nvGraphicFramePr>
        <xdr:cNvPr id="3" name="Chart 2">
          <a:extLst>
            <a:ext uri="{FF2B5EF4-FFF2-40B4-BE49-F238E27FC236}">
              <a16:creationId xmlns:a16="http://schemas.microsoft.com/office/drawing/2014/main" id="{43466212-8BFA-815F-B037-42A3D2162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556260</xdr:colOff>
      <xdr:row>40</xdr:row>
      <xdr:rowOff>76200</xdr:rowOff>
    </xdr:from>
    <xdr:to>
      <xdr:col>21</xdr:col>
      <xdr:colOff>251460</xdr:colOff>
      <xdr:row>55</xdr:row>
      <xdr:rowOff>76200</xdr:rowOff>
    </xdr:to>
    <xdr:graphicFrame macro="">
      <xdr:nvGraphicFramePr>
        <xdr:cNvPr id="5" name="Chart 4">
          <a:extLst>
            <a:ext uri="{FF2B5EF4-FFF2-40B4-BE49-F238E27FC236}">
              <a16:creationId xmlns:a16="http://schemas.microsoft.com/office/drawing/2014/main" id="{D4431891-C461-5416-EE51-F8F5822CF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373380</xdr:colOff>
      <xdr:row>31</xdr:row>
      <xdr:rowOff>175260</xdr:rowOff>
    </xdr:from>
    <xdr:to>
      <xdr:col>51</xdr:col>
      <xdr:colOff>68580</xdr:colOff>
      <xdr:row>46</xdr:row>
      <xdr:rowOff>175260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A59D81A-A416-BE03-1246-93E150CC6A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714440" y="58445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411480</xdr:colOff>
      <xdr:row>67</xdr:row>
      <xdr:rowOff>121920</xdr:rowOff>
    </xdr:from>
    <xdr:to>
      <xdr:col>48</xdr:col>
      <xdr:colOff>76200</xdr:colOff>
      <xdr:row>82</xdr:row>
      <xdr:rowOff>121920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4075E2C-BC44-5E1E-74BF-EA07FEE9E2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1142940" y="12374880"/>
              <a:ext cx="3322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518160</xdr:colOff>
      <xdr:row>63</xdr:row>
      <xdr:rowOff>83820</xdr:rowOff>
    </xdr:from>
    <xdr:to>
      <xdr:col>12</xdr:col>
      <xdr:colOff>251460</xdr:colOff>
      <xdr:row>78</xdr:row>
      <xdr:rowOff>83820</xdr:rowOff>
    </xdr:to>
    <xdr:graphicFrame macro="">
      <xdr:nvGraphicFramePr>
        <xdr:cNvPr id="6" name="Chart 5">
          <a:extLst>
            <a:ext uri="{FF2B5EF4-FFF2-40B4-BE49-F238E27FC236}">
              <a16:creationId xmlns:a16="http://schemas.microsoft.com/office/drawing/2014/main" id="{5A7E2D19-7C4B-8F0B-D5E6-9E19F9D03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327660</xdr:colOff>
      <xdr:row>24</xdr:row>
      <xdr:rowOff>137160</xdr:rowOff>
    </xdr:from>
    <xdr:to>
      <xdr:col>15</xdr:col>
      <xdr:colOff>365760</xdr:colOff>
      <xdr:row>39</xdr:row>
      <xdr:rowOff>137160</xdr:rowOff>
    </xdr:to>
    <xdr:graphicFrame macro="">
      <xdr:nvGraphicFramePr>
        <xdr:cNvPr id="2" name="Chart 1">
          <a:extLst>
            <a:ext uri="{FF2B5EF4-FFF2-40B4-BE49-F238E27FC236}">
              <a16:creationId xmlns:a16="http://schemas.microsoft.com/office/drawing/2014/main" id="{9577475F-318B-6ED8-25F2-F5AD410AE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213360</xdr:colOff>
      <xdr:row>0</xdr:row>
      <xdr:rowOff>0</xdr:rowOff>
    </xdr:from>
    <xdr:to>
      <xdr:col>24</xdr:col>
      <xdr:colOff>385482</xdr:colOff>
      <xdr:row>47</xdr:row>
      <xdr:rowOff>16564</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69273" y="0"/>
          <a:ext cx="12894209" cy="8638760"/>
        </a:xfrm>
        <a:prstGeom prst="rect">
          <a:avLst/>
        </a:prstGeom>
        <a:solidFill>
          <a:schemeClr val="accent1"/>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x </a:t>
          </a:r>
        </a:p>
      </xdr:txBody>
    </xdr:sp>
    <xdr:clientData/>
  </xdr:twoCellAnchor>
  <xdr:twoCellAnchor>
    <xdr:from>
      <xdr:col>0</xdr:col>
      <xdr:colOff>0</xdr:colOff>
      <xdr:row>0</xdr:row>
      <xdr:rowOff>0</xdr:rowOff>
    </xdr:from>
    <xdr:to>
      <xdr:col>3</xdr:col>
      <xdr:colOff>0</xdr:colOff>
      <xdr:row>46</xdr:row>
      <xdr:rowOff>41412</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7826" cy="8481390"/>
        </a:xfrm>
        <a:prstGeom prst="rect">
          <a:avLst/>
        </a:prstGeom>
        <a:solidFill>
          <a:schemeClr val="tx1"/>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43330</xdr:colOff>
      <xdr:row>2</xdr:row>
      <xdr:rowOff>12101</xdr:rowOff>
    </xdr:from>
    <xdr:to>
      <xdr:col>1</xdr:col>
      <xdr:colOff>1026310</xdr:colOff>
      <xdr:row>5</xdr:row>
      <xdr:rowOff>138056</xdr:rowOff>
    </xdr:to>
    <xdr:sp macro="" textlink="pivots!G4">
      <xdr:nvSpPr>
        <xdr:cNvPr id="4" name="TextBox 3">
          <a:extLst>
            <a:ext uri="{FF2B5EF4-FFF2-40B4-BE49-F238E27FC236}">
              <a16:creationId xmlns:a16="http://schemas.microsoft.com/office/drawing/2014/main" id="{83F02E88-E8E0-76A7-6056-26A26FEAFE67}"/>
            </a:ext>
          </a:extLst>
        </xdr:cNvPr>
        <xdr:cNvSpPr txBox="1"/>
      </xdr:nvSpPr>
      <xdr:spPr>
        <a:xfrm>
          <a:off x="43330" y="370689"/>
          <a:ext cx="1216062" cy="66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D561FF6-6F11-456C-AFF6-92FE14992719}" type="TxLink">
            <a:rPr lang="en-US" sz="1800" b="1" i="0" u="none" strike="noStrike">
              <a:ln>
                <a:noFill/>
              </a:ln>
              <a:solidFill>
                <a:schemeClr val="bg1"/>
              </a:solidFill>
              <a:latin typeface="Aptos Narrow"/>
              <a:ea typeface="+mn-ea"/>
              <a:cs typeface="+mn-cs"/>
            </a:rPr>
            <a:pPr marL="0" indent="0" algn="l"/>
            <a:t>2,400</a:t>
          </a:fld>
          <a:endParaRPr lang="en-US" sz="1800" b="1" i="0" u="none" strike="noStrike">
            <a:ln>
              <a:noFill/>
            </a:ln>
            <a:solidFill>
              <a:schemeClr val="bg1"/>
            </a:solidFill>
            <a:latin typeface="Aptos Narrow"/>
            <a:ea typeface="+mn-ea"/>
            <a:cs typeface="+mn-cs"/>
          </a:endParaRPr>
        </a:p>
      </xdr:txBody>
    </xdr:sp>
    <xdr:clientData/>
  </xdr:twoCellAnchor>
  <xdr:twoCellAnchor>
    <xdr:from>
      <xdr:col>0</xdr:col>
      <xdr:colOff>16383</xdr:colOff>
      <xdr:row>7</xdr:row>
      <xdr:rowOff>178430</xdr:rowOff>
    </xdr:from>
    <xdr:to>
      <xdr:col>1</xdr:col>
      <xdr:colOff>1003846</xdr:colOff>
      <xdr:row>11</xdr:row>
      <xdr:rowOff>125091</xdr:rowOff>
    </xdr:to>
    <xdr:sp macro="" textlink="pivots!H4">
      <xdr:nvSpPr>
        <xdr:cNvPr id="10" name="TextBox 9">
          <a:extLst>
            <a:ext uri="{FF2B5EF4-FFF2-40B4-BE49-F238E27FC236}">
              <a16:creationId xmlns:a16="http://schemas.microsoft.com/office/drawing/2014/main" id="{4B7EE0C9-7334-4D2F-B278-2A0419F8B74E}"/>
            </a:ext>
          </a:extLst>
        </xdr:cNvPr>
        <xdr:cNvSpPr txBox="1"/>
      </xdr:nvSpPr>
      <xdr:spPr>
        <a:xfrm>
          <a:off x="16383" y="1487277"/>
          <a:ext cx="1220545" cy="66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EE92965-99BE-463B-9E1B-9810930E37FC}" type="TxLink">
            <a:rPr lang="en-US" sz="1800" b="1" i="0" u="none" strike="noStrike">
              <a:ln>
                <a:noFill/>
              </a:ln>
              <a:solidFill>
                <a:schemeClr val="bg1"/>
              </a:solidFill>
              <a:latin typeface="Aptos Narrow"/>
              <a:ea typeface="+mn-ea"/>
              <a:cs typeface="+mn-cs"/>
            </a:rPr>
            <a:pPr marL="0" indent="0" algn="l"/>
            <a:t>11,997</a:t>
          </a:fld>
          <a:endParaRPr lang="en-US" sz="1800" b="1" i="0" u="none" strike="noStrike">
            <a:ln>
              <a:noFill/>
            </a:ln>
            <a:solidFill>
              <a:schemeClr val="bg1"/>
            </a:solidFill>
            <a:latin typeface="Aptos Narrow"/>
            <a:ea typeface="+mn-ea"/>
            <a:cs typeface="+mn-cs"/>
          </a:endParaRPr>
        </a:p>
      </xdr:txBody>
    </xdr:sp>
    <xdr:clientData/>
  </xdr:twoCellAnchor>
  <xdr:twoCellAnchor>
    <xdr:from>
      <xdr:col>0</xdr:col>
      <xdr:colOff>93132</xdr:colOff>
      <xdr:row>21</xdr:row>
      <xdr:rowOff>15239</xdr:rowOff>
    </xdr:from>
    <xdr:to>
      <xdr:col>1</xdr:col>
      <xdr:colOff>1080595</xdr:colOff>
      <xdr:row>24</xdr:row>
      <xdr:rowOff>141193</xdr:rowOff>
    </xdr:to>
    <xdr:sp macro="" textlink="pivots!J4">
      <xdr:nvSpPr>
        <xdr:cNvPr id="11" name="TextBox 10">
          <a:extLst>
            <a:ext uri="{FF2B5EF4-FFF2-40B4-BE49-F238E27FC236}">
              <a16:creationId xmlns:a16="http://schemas.microsoft.com/office/drawing/2014/main" id="{13B9343E-5872-4458-B0FF-AD34055B2219}"/>
            </a:ext>
          </a:extLst>
        </xdr:cNvPr>
        <xdr:cNvSpPr txBox="1"/>
      </xdr:nvSpPr>
      <xdr:spPr>
        <a:xfrm>
          <a:off x="93132" y="3834204"/>
          <a:ext cx="1220545" cy="66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775A4DF-9695-4C71-8FEA-DBB798F6A0BA}" type="TxLink">
            <a:rPr lang="en-US" sz="1800" b="1" i="0" u="none" strike="noStrike">
              <a:ln>
                <a:noFill/>
              </a:ln>
              <a:solidFill>
                <a:schemeClr val="bg1"/>
              </a:solidFill>
              <a:latin typeface="Aptos Narrow"/>
              <a:ea typeface="+mn-ea"/>
              <a:cs typeface="+mn-cs"/>
            </a:rPr>
            <a:pPr marL="0" indent="0" algn="l"/>
            <a:t>4.0</a:t>
          </a:fld>
          <a:endParaRPr lang="en-US" sz="1800" b="1" i="0" u="none" strike="noStrike">
            <a:ln>
              <a:noFill/>
            </a:ln>
            <a:solidFill>
              <a:schemeClr val="bg1"/>
            </a:solidFill>
            <a:latin typeface="Aptos Narrow"/>
            <a:ea typeface="+mn-ea"/>
            <a:cs typeface="+mn-cs"/>
          </a:endParaRPr>
        </a:p>
      </xdr:txBody>
    </xdr:sp>
    <xdr:clientData/>
  </xdr:twoCellAnchor>
  <xdr:twoCellAnchor>
    <xdr:from>
      <xdr:col>0</xdr:col>
      <xdr:colOff>44823</xdr:colOff>
      <xdr:row>14</xdr:row>
      <xdr:rowOff>81878</xdr:rowOff>
    </xdr:from>
    <xdr:to>
      <xdr:col>1</xdr:col>
      <xdr:colOff>1027803</xdr:colOff>
      <xdr:row>18</xdr:row>
      <xdr:rowOff>28536</xdr:rowOff>
    </xdr:to>
    <xdr:sp macro="" textlink="pivots!I4">
      <xdr:nvSpPr>
        <xdr:cNvPr id="12" name="TextBox 11">
          <a:extLst>
            <a:ext uri="{FF2B5EF4-FFF2-40B4-BE49-F238E27FC236}">
              <a16:creationId xmlns:a16="http://schemas.microsoft.com/office/drawing/2014/main" id="{76256F99-61B4-4BAE-BC1E-9A2C57A1E137}"/>
            </a:ext>
          </a:extLst>
        </xdr:cNvPr>
        <xdr:cNvSpPr txBox="1"/>
      </xdr:nvSpPr>
      <xdr:spPr>
        <a:xfrm>
          <a:off x="44823" y="2645784"/>
          <a:ext cx="1216062" cy="66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9BD41FA-815E-4952-A5F1-F16053426BDF}" type="TxLink">
            <a:rPr lang="en-US" sz="1800" b="1" i="0" u="none" strike="noStrike">
              <a:ln>
                <a:noFill/>
              </a:ln>
              <a:solidFill>
                <a:schemeClr val="bg1"/>
              </a:solidFill>
              <a:latin typeface="Aptos Narrow"/>
              <a:ea typeface="+mn-ea"/>
              <a:cs typeface="+mn-cs"/>
            </a:rPr>
            <a:pPr marL="0" indent="0" algn="l"/>
            <a:t>649.0k</a:t>
          </a:fld>
          <a:endParaRPr lang="en-US" sz="1800" b="1" i="0" u="none" strike="noStrike">
            <a:ln>
              <a:noFill/>
            </a:ln>
            <a:solidFill>
              <a:schemeClr val="bg1"/>
            </a:solidFill>
            <a:latin typeface="Aptos Narrow"/>
            <a:ea typeface="+mn-ea"/>
            <a:cs typeface="+mn-cs"/>
          </a:endParaRPr>
        </a:p>
      </xdr:txBody>
    </xdr:sp>
    <xdr:clientData/>
  </xdr:twoCellAnchor>
  <xdr:twoCellAnchor>
    <xdr:from>
      <xdr:col>0</xdr:col>
      <xdr:colOff>63252</xdr:colOff>
      <xdr:row>27</xdr:row>
      <xdr:rowOff>86259</xdr:rowOff>
    </xdr:from>
    <xdr:to>
      <xdr:col>1</xdr:col>
      <xdr:colOff>1041750</xdr:colOff>
      <xdr:row>31</xdr:row>
      <xdr:rowOff>32921</xdr:rowOff>
    </xdr:to>
    <xdr:sp macro="" textlink="pivots!K4">
      <xdr:nvSpPr>
        <xdr:cNvPr id="13" name="TextBox 12">
          <a:extLst>
            <a:ext uri="{FF2B5EF4-FFF2-40B4-BE49-F238E27FC236}">
              <a16:creationId xmlns:a16="http://schemas.microsoft.com/office/drawing/2014/main" id="{C14D275E-4A06-4AB4-9DEE-7642D4292A15}"/>
            </a:ext>
          </a:extLst>
        </xdr:cNvPr>
        <xdr:cNvSpPr txBox="1"/>
      </xdr:nvSpPr>
      <xdr:spPr>
        <a:xfrm>
          <a:off x="63252" y="4980988"/>
          <a:ext cx="1211580" cy="66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0472724-A1D4-48E4-8301-9AA1079D7FBE}" type="TxLink">
            <a:rPr lang="en-US" sz="1800" b="1" i="0" u="none" strike="noStrike">
              <a:ln>
                <a:noFill/>
              </a:ln>
              <a:solidFill>
                <a:schemeClr val="bg1"/>
              </a:solidFill>
              <a:latin typeface="Aptos Narrow"/>
              <a:ea typeface="+mn-ea"/>
              <a:cs typeface="+mn-cs"/>
            </a:rPr>
            <a:pPr marL="0" indent="0" algn="l"/>
            <a:t>2.3</a:t>
          </a:fld>
          <a:endParaRPr lang="en-US" sz="1800" b="1" i="0" u="none" strike="noStrike">
            <a:ln>
              <a:noFill/>
            </a:ln>
            <a:solidFill>
              <a:schemeClr val="bg1"/>
            </a:solidFill>
            <a:latin typeface="Aptos Narrow"/>
            <a:ea typeface="+mn-ea"/>
            <a:cs typeface="+mn-cs"/>
          </a:endParaRPr>
        </a:p>
      </xdr:txBody>
    </xdr:sp>
    <xdr:clientData/>
  </xdr:twoCellAnchor>
  <xdr:twoCellAnchor>
    <xdr:from>
      <xdr:col>0</xdr:col>
      <xdr:colOff>0</xdr:colOff>
      <xdr:row>0</xdr:row>
      <xdr:rowOff>82226</xdr:rowOff>
    </xdr:from>
    <xdr:to>
      <xdr:col>1</xdr:col>
      <xdr:colOff>982980</xdr:colOff>
      <xdr:row>2</xdr:row>
      <xdr:rowOff>20618</xdr:rowOff>
    </xdr:to>
    <xdr:sp macro="" textlink="pivots!G4">
      <xdr:nvSpPr>
        <xdr:cNvPr id="17" name="TextBox 16">
          <a:extLst>
            <a:ext uri="{FF2B5EF4-FFF2-40B4-BE49-F238E27FC236}">
              <a16:creationId xmlns:a16="http://schemas.microsoft.com/office/drawing/2014/main" id="{B523D6A5-8A83-458A-A8E6-0178C923FDD7}"/>
            </a:ext>
          </a:extLst>
        </xdr:cNvPr>
        <xdr:cNvSpPr txBox="1"/>
      </xdr:nvSpPr>
      <xdr:spPr>
        <a:xfrm>
          <a:off x="0" y="82226"/>
          <a:ext cx="1216062" cy="29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100">
              <a:solidFill>
                <a:schemeClr val="dk1"/>
              </a:solidFill>
              <a:effectLst/>
              <a:latin typeface="+mn-lt"/>
              <a:ea typeface="+mn-ea"/>
              <a:cs typeface="+mn-cs"/>
            </a:rPr>
            <a:t>🛒</a:t>
          </a:r>
          <a:r>
            <a:rPr lang="en-US" sz="1200" b="1" i="0" u="none" strike="noStrike">
              <a:ln>
                <a:noFill/>
              </a:ln>
              <a:solidFill>
                <a:schemeClr val="bg1"/>
              </a:solidFill>
              <a:latin typeface="Aptos Narrow"/>
              <a:ea typeface="+mn-ea"/>
              <a:cs typeface="+mn-cs"/>
            </a:rPr>
            <a:t>Orders</a:t>
          </a:r>
        </a:p>
      </xdr:txBody>
    </xdr:sp>
    <xdr:clientData/>
  </xdr:twoCellAnchor>
  <xdr:twoCellAnchor>
    <xdr:from>
      <xdr:col>0</xdr:col>
      <xdr:colOff>0</xdr:colOff>
      <xdr:row>6</xdr:row>
      <xdr:rowOff>51945</xdr:rowOff>
    </xdr:from>
    <xdr:to>
      <xdr:col>1</xdr:col>
      <xdr:colOff>982981</xdr:colOff>
      <xdr:row>7</xdr:row>
      <xdr:rowOff>169631</xdr:rowOff>
    </xdr:to>
    <xdr:sp macro="" textlink="pivots!G4">
      <xdr:nvSpPr>
        <xdr:cNvPr id="20" name="TextBox 19">
          <a:extLst>
            <a:ext uri="{FF2B5EF4-FFF2-40B4-BE49-F238E27FC236}">
              <a16:creationId xmlns:a16="http://schemas.microsoft.com/office/drawing/2014/main" id="{1C609B80-DF05-4B3E-883B-B823183379AA}"/>
            </a:ext>
          </a:extLst>
        </xdr:cNvPr>
        <xdr:cNvSpPr txBox="1"/>
      </xdr:nvSpPr>
      <xdr:spPr>
        <a:xfrm>
          <a:off x="0" y="1181498"/>
          <a:ext cx="1216063" cy="29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0" i="0" u="none" strike="noStrike">
              <a:solidFill>
                <a:schemeClr val="dk1"/>
              </a:solidFill>
              <a:effectLst/>
              <a:latin typeface="+mn-lt"/>
              <a:ea typeface="+mn-ea"/>
              <a:cs typeface="+mn-cs"/>
            </a:rPr>
            <a:t>👕</a:t>
          </a:r>
          <a:r>
            <a:rPr lang="en-IN" sz="1200">
              <a:effectLst/>
            </a:rPr>
            <a:t> </a:t>
          </a:r>
          <a:r>
            <a:rPr lang="en-US" sz="1200" b="1" i="0" u="none" strike="noStrike">
              <a:ln>
                <a:noFill/>
              </a:ln>
              <a:solidFill>
                <a:schemeClr val="bg1"/>
              </a:solidFill>
              <a:latin typeface="Aptos Narrow"/>
              <a:ea typeface="+mn-ea"/>
              <a:cs typeface="+mn-cs"/>
            </a:rPr>
            <a:t>Quantity</a:t>
          </a:r>
        </a:p>
      </xdr:txBody>
    </xdr:sp>
    <xdr:clientData/>
  </xdr:twoCellAnchor>
  <xdr:twoCellAnchor>
    <xdr:from>
      <xdr:col>0</xdr:col>
      <xdr:colOff>0</xdr:colOff>
      <xdr:row>12</xdr:row>
      <xdr:rowOff>104786</xdr:rowOff>
    </xdr:from>
    <xdr:to>
      <xdr:col>1</xdr:col>
      <xdr:colOff>982980</xdr:colOff>
      <xdr:row>14</xdr:row>
      <xdr:rowOff>36209</xdr:rowOff>
    </xdr:to>
    <xdr:sp macro="" textlink="pivots!G4">
      <xdr:nvSpPr>
        <xdr:cNvPr id="21" name="TextBox 20">
          <a:extLst>
            <a:ext uri="{FF2B5EF4-FFF2-40B4-BE49-F238E27FC236}">
              <a16:creationId xmlns:a16="http://schemas.microsoft.com/office/drawing/2014/main" id="{5F4D7B67-B930-4B39-9F7C-1CF3E218EEB6}"/>
            </a:ext>
          </a:extLst>
        </xdr:cNvPr>
        <xdr:cNvSpPr txBox="1"/>
      </xdr:nvSpPr>
      <xdr:spPr>
        <a:xfrm>
          <a:off x="0" y="2310104"/>
          <a:ext cx="1216062" cy="29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ln>
                <a:noFill/>
              </a:ln>
              <a:solidFill>
                <a:schemeClr val="bg1"/>
              </a:solidFill>
              <a:latin typeface="Aptos Narrow"/>
              <a:ea typeface="+mn-ea"/>
              <a:cs typeface="+mn-cs"/>
            </a:rPr>
            <a:t>💰</a:t>
          </a:r>
          <a:r>
            <a:rPr lang="en-US" sz="1200" b="1" i="0" u="none" strike="noStrike">
              <a:ln>
                <a:noFill/>
              </a:ln>
              <a:solidFill>
                <a:schemeClr val="bg1"/>
              </a:solidFill>
              <a:latin typeface="Aptos Narrow"/>
              <a:ea typeface="+mn-ea"/>
              <a:cs typeface="+mn-cs"/>
            </a:rPr>
            <a:t>Amount</a:t>
          </a:r>
        </a:p>
      </xdr:txBody>
    </xdr:sp>
    <xdr:clientData/>
  </xdr:twoCellAnchor>
  <xdr:twoCellAnchor>
    <xdr:from>
      <xdr:col>0</xdr:col>
      <xdr:colOff>0</xdr:colOff>
      <xdr:row>19</xdr:row>
      <xdr:rowOff>33070</xdr:rowOff>
    </xdr:from>
    <xdr:to>
      <xdr:col>1</xdr:col>
      <xdr:colOff>982981</xdr:colOff>
      <xdr:row>20</xdr:row>
      <xdr:rowOff>143784</xdr:rowOff>
    </xdr:to>
    <xdr:sp macro="" textlink="pivots!G4">
      <xdr:nvSpPr>
        <xdr:cNvPr id="22" name="TextBox 21">
          <a:extLst>
            <a:ext uri="{FF2B5EF4-FFF2-40B4-BE49-F238E27FC236}">
              <a16:creationId xmlns:a16="http://schemas.microsoft.com/office/drawing/2014/main" id="{9C4D2F38-2704-42BE-BFA6-74B466833E05}"/>
            </a:ext>
          </a:extLst>
        </xdr:cNvPr>
        <xdr:cNvSpPr txBox="1"/>
      </xdr:nvSpPr>
      <xdr:spPr>
        <a:xfrm>
          <a:off x="0" y="3493446"/>
          <a:ext cx="1216063"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ln>
                <a:noFill/>
              </a:ln>
              <a:solidFill>
                <a:schemeClr val="bg1"/>
              </a:solidFill>
              <a:latin typeface="Aptos Narrow"/>
              <a:ea typeface="+mn-ea"/>
              <a:cs typeface="+mn-cs"/>
            </a:rPr>
            <a:t>⭐</a:t>
          </a:r>
          <a:r>
            <a:rPr lang="en-US" sz="1200" b="1" i="0" u="none" strike="noStrike">
              <a:ln>
                <a:noFill/>
              </a:ln>
              <a:solidFill>
                <a:schemeClr val="bg1"/>
              </a:solidFill>
              <a:latin typeface="Aptos Narrow"/>
              <a:ea typeface="+mn-ea"/>
              <a:cs typeface="+mn-cs"/>
            </a:rPr>
            <a:t>Avg</a:t>
          </a:r>
          <a:r>
            <a:rPr lang="en-US" sz="1200" b="1" i="0" u="none" strike="noStrike" baseline="0">
              <a:ln>
                <a:noFill/>
              </a:ln>
              <a:solidFill>
                <a:schemeClr val="bg1"/>
              </a:solidFill>
              <a:latin typeface="Aptos Narrow"/>
              <a:ea typeface="+mn-ea"/>
              <a:cs typeface="+mn-cs"/>
            </a:rPr>
            <a:t> </a:t>
          </a:r>
          <a:r>
            <a:rPr lang="en-US" sz="1200" b="1" i="0" u="none" strike="noStrike">
              <a:ln>
                <a:noFill/>
              </a:ln>
              <a:solidFill>
                <a:schemeClr val="bg1"/>
              </a:solidFill>
              <a:latin typeface="Aptos Narrow"/>
              <a:ea typeface="+mn-ea"/>
              <a:cs typeface="+mn-cs"/>
            </a:rPr>
            <a:t>Rating</a:t>
          </a:r>
        </a:p>
      </xdr:txBody>
    </xdr:sp>
    <xdr:clientData/>
  </xdr:twoCellAnchor>
  <xdr:twoCellAnchor>
    <xdr:from>
      <xdr:col>0</xdr:col>
      <xdr:colOff>0</xdr:colOff>
      <xdr:row>25</xdr:row>
      <xdr:rowOff>147819</xdr:rowOff>
    </xdr:from>
    <xdr:to>
      <xdr:col>3</xdr:col>
      <xdr:colOff>179294</xdr:colOff>
      <xdr:row>27</xdr:row>
      <xdr:rowOff>89647</xdr:rowOff>
    </xdr:to>
    <xdr:sp macro="" textlink="pivots!G4">
      <xdr:nvSpPr>
        <xdr:cNvPr id="23" name="TextBox 22">
          <a:extLst>
            <a:ext uri="{FF2B5EF4-FFF2-40B4-BE49-F238E27FC236}">
              <a16:creationId xmlns:a16="http://schemas.microsoft.com/office/drawing/2014/main" id="{D0EA3180-9F84-4F2E-977D-E6D2D3F60489}"/>
            </a:ext>
          </a:extLst>
        </xdr:cNvPr>
        <xdr:cNvSpPr txBox="1"/>
      </xdr:nvSpPr>
      <xdr:spPr>
        <a:xfrm>
          <a:off x="0" y="4683960"/>
          <a:ext cx="2169459" cy="30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ln>
                <a:noFill/>
              </a:ln>
              <a:solidFill>
                <a:schemeClr val="bg1"/>
              </a:solidFill>
              <a:latin typeface="Aptos Narrow"/>
              <a:ea typeface="+mn-ea"/>
              <a:cs typeface="+mn-cs"/>
            </a:rPr>
            <a:t>📅</a:t>
          </a:r>
          <a:r>
            <a:rPr lang="en-US" sz="1200" b="1" i="0" u="none" strike="noStrike">
              <a:ln>
                <a:noFill/>
              </a:ln>
              <a:solidFill>
                <a:schemeClr val="bg1"/>
              </a:solidFill>
              <a:latin typeface="Aptos Narrow"/>
              <a:ea typeface="+mn-ea"/>
              <a:cs typeface="+mn-cs"/>
            </a:rPr>
            <a:t>Days</a:t>
          </a:r>
          <a:r>
            <a:rPr lang="en-US" sz="1200" b="1" i="0" u="none" strike="noStrike" baseline="0">
              <a:ln>
                <a:noFill/>
              </a:ln>
              <a:solidFill>
                <a:schemeClr val="bg1"/>
              </a:solidFill>
              <a:latin typeface="Aptos Narrow"/>
              <a:ea typeface="+mn-ea"/>
              <a:cs typeface="+mn-cs"/>
            </a:rPr>
            <a:t> to  Deliver Deliver</a:t>
          </a:r>
          <a:endParaRPr lang="en-US" sz="1200" b="1" i="0" u="none" strike="noStrike">
            <a:ln>
              <a:noFill/>
            </a:ln>
            <a:solidFill>
              <a:schemeClr val="bg1"/>
            </a:solidFill>
            <a:latin typeface="Aptos Narrow"/>
            <a:ea typeface="+mn-ea"/>
            <a:cs typeface="+mn-cs"/>
          </a:endParaRPr>
        </a:p>
      </xdr:txBody>
    </xdr:sp>
    <xdr:clientData/>
  </xdr:twoCellAnchor>
  <xdr:twoCellAnchor>
    <xdr:from>
      <xdr:col>3</xdr:col>
      <xdr:colOff>30480</xdr:colOff>
      <xdr:row>0</xdr:row>
      <xdr:rowOff>45721</xdr:rowOff>
    </xdr:from>
    <xdr:to>
      <xdr:col>10</xdr:col>
      <xdr:colOff>205740</xdr:colOff>
      <xdr:row>18</xdr:row>
      <xdr:rowOff>8467</xdr:rowOff>
    </xdr:to>
    <xdr:graphicFrame macro="">
      <xdr:nvGraphicFramePr>
        <xdr:cNvPr id="24" name="Chart 23">
          <a:extLst>
            <a:ext uri="{FF2B5EF4-FFF2-40B4-BE49-F238E27FC236}">
              <a16:creationId xmlns:a16="http://schemas.microsoft.com/office/drawing/2014/main" id="{E904BEEF-7064-4FD9-9978-DE66E8F7E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259080</xdr:colOff>
      <xdr:row>0</xdr:row>
      <xdr:rowOff>38100</xdr:rowOff>
    </xdr:from>
    <xdr:to>
      <xdr:col>16</xdr:col>
      <xdr:colOff>207065</xdr:colOff>
      <xdr:row>18</xdr:row>
      <xdr:rowOff>8283</xdr:rowOff>
    </xdr:to>
    <xdr:sp macro="" textlink="">
      <xdr:nvSpPr>
        <xdr:cNvPr id="30" name="TextBox 29">
          <a:extLst>
            <a:ext uri="{FF2B5EF4-FFF2-40B4-BE49-F238E27FC236}">
              <a16:creationId xmlns:a16="http://schemas.microsoft.com/office/drawing/2014/main" id="{C06C5CD9-9465-22F4-5EDE-7DE645E0E219}"/>
            </a:ext>
          </a:extLst>
        </xdr:cNvPr>
        <xdr:cNvSpPr txBox="1"/>
      </xdr:nvSpPr>
      <xdr:spPr>
        <a:xfrm>
          <a:off x="6156297" y="38100"/>
          <a:ext cx="3625464" cy="3308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solidFill>
                <a:schemeClr val="bg1"/>
              </a:solidFill>
            </a:ln>
            <a:solidFill>
              <a:schemeClr val="bg1"/>
            </a:solidFill>
          </a:endParaRPr>
        </a:p>
      </xdr:txBody>
    </xdr:sp>
    <xdr:clientData/>
  </xdr:twoCellAnchor>
  <xdr:twoCellAnchor editAs="oneCell">
    <xdr:from>
      <xdr:col>10</xdr:col>
      <xdr:colOff>342900</xdr:colOff>
      <xdr:row>2</xdr:row>
      <xdr:rowOff>92927</xdr:rowOff>
    </xdr:from>
    <xdr:to>
      <xdr:col>16</xdr:col>
      <xdr:colOff>22860</xdr:colOff>
      <xdr:row>16</xdr:row>
      <xdr:rowOff>107673</xdr:rowOff>
    </xdr:to>
    <xdr:pic>
      <xdr:nvPicPr>
        <xdr:cNvPr id="29" name="Picture 28">
          <a:extLst>
            <a:ext uri="{FF2B5EF4-FFF2-40B4-BE49-F238E27FC236}">
              <a16:creationId xmlns:a16="http://schemas.microsoft.com/office/drawing/2014/main" id="{F9F6C3AC-AF96-24A9-00E2-F6999A6B9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0117" y="515340"/>
          <a:ext cx="3357439" cy="2565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231913</xdr:colOff>
      <xdr:row>0</xdr:row>
      <xdr:rowOff>66261</xdr:rowOff>
    </xdr:from>
    <xdr:to>
      <xdr:col>22</xdr:col>
      <xdr:colOff>521473</xdr:colOff>
      <xdr:row>18</xdr:row>
      <xdr:rowOff>0</xdr:rowOff>
    </xdr:to>
    <xdr:graphicFrame macro="">
      <xdr:nvGraphicFramePr>
        <xdr:cNvPr id="31" name="Chart 30">
          <a:extLst>
            <a:ext uri="{FF2B5EF4-FFF2-40B4-BE49-F238E27FC236}">
              <a16:creationId xmlns:a16="http://schemas.microsoft.com/office/drawing/2014/main" id="{16ECFD20-353F-4633-B70D-6A3EA6062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52535</xdr:colOff>
      <xdr:row>18</xdr:row>
      <xdr:rowOff>50431</xdr:rowOff>
    </xdr:from>
    <xdr:to>
      <xdr:col>10</xdr:col>
      <xdr:colOff>204935</xdr:colOff>
      <xdr:row>42</xdr:row>
      <xdr:rowOff>169332</xdr:rowOff>
    </xdr:to>
    <xdr:graphicFrame macro="">
      <xdr:nvGraphicFramePr>
        <xdr:cNvPr id="32" name="Chart 31">
          <a:extLst>
            <a:ext uri="{FF2B5EF4-FFF2-40B4-BE49-F238E27FC236}">
              <a16:creationId xmlns:a16="http://schemas.microsoft.com/office/drawing/2014/main" id="{66BEBFA6-9740-4EA4-8B36-1031CFFBB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527573</xdr:colOff>
      <xdr:row>26</xdr:row>
      <xdr:rowOff>151056</xdr:rowOff>
    </xdr:from>
    <xdr:to>
      <xdr:col>8</xdr:col>
      <xdr:colOff>268493</xdr:colOff>
      <xdr:row>33</xdr:row>
      <xdr:rowOff>112956</xdr:rowOff>
    </xdr:to>
    <xdr:graphicFrame macro="">
      <xdr:nvGraphicFramePr>
        <xdr:cNvPr id="33" name="Chart 32">
          <a:extLst>
            <a:ext uri="{FF2B5EF4-FFF2-40B4-BE49-F238E27FC236}">
              <a16:creationId xmlns:a16="http://schemas.microsoft.com/office/drawing/2014/main" id="{C3DEDFDB-6AB0-43F7-939B-EF7DC50DD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260527</xdr:colOff>
      <xdr:row>18</xdr:row>
      <xdr:rowOff>39631</xdr:rowOff>
    </xdr:from>
    <xdr:to>
      <xdr:col>16</xdr:col>
      <xdr:colOff>173934</xdr:colOff>
      <xdr:row>43</xdr:row>
      <xdr:rowOff>24847</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DE0B52E-E404-476E-A46B-F58B1552C9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57744" y="3377522"/>
              <a:ext cx="3590886" cy="4540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244583</xdr:colOff>
      <xdr:row>21</xdr:row>
      <xdr:rowOff>30480</xdr:rowOff>
    </xdr:from>
    <xdr:to>
      <xdr:col>15</xdr:col>
      <xdr:colOff>461660</xdr:colOff>
      <xdr:row>26</xdr:row>
      <xdr:rowOff>60960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C95A32D-A3D9-4582-8D8B-3E5EF32680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550383" y="3924300"/>
              <a:ext cx="826677" cy="944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252437</xdr:colOff>
      <xdr:row>18</xdr:row>
      <xdr:rowOff>55346</xdr:rowOff>
    </xdr:from>
    <xdr:to>
      <xdr:col>22</xdr:col>
      <xdr:colOff>554934</xdr:colOff>
      <xdr:row>29</xdr:row>
      <xdr:rowOff>140804</xdr:rowOff>
    </xdr:to>
    <xdr:graphicFrame macro="">
      <xdr:nvGraphicFramePr>
        <xdr:cNvPr id="6" name="Chart 5">
          <a:extLst>
            <a:ext uri="{FF2B5EF4-FFF2-40B4-BE49-F238E27FC236}">
              <a16:creationId xmlns:a16="http://schemas.microsoft.com/office/drawing/2014/main" id="{889CB7E7-5A3B-458F-9E55-87D643EF9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275958</xdr:colOff>
      <xdr:row>29</xdr:row>
      <xdr:rowOff>157369</xdr:rowOff>
    </xdr:from>
    <xdr:to>
      <xdr:col>22</xdr:col>
      <xdr:colOff>588063</xdr:colOff>
      <xdr:row>43</xdr:row>
      <xdr:rowOff>16565</xdr:rowOff>
    </xdr:to>
    <xdr:graphicFrame macro="">
      <xdr:nvGraphicFramePr>
        <xdr:cNvPr id="7" name="Chart 6">
          <a:extLst>
            <a:ext uri="{FF2B5EF4-FFF2-40B4-BE49-F238E27FC236}">
              <a16:creationId xmlns:a16="http://schemas.microsoft.com/office/drawing/2014/main" id="{83CC26ED-CB5C-493A-A60D-3081F5BF2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529315</xdr:colOff>
      <xdr:row>0</xdr:row>
      <xdr:rowOff>0</xdr:rowOff>
    </xdr:from>
    <xdr:to>
      <xdr:col>28</xdr:col>
      <xdr:colOff>356583</xdr:colOff>
      <xdr:row>45</xdr:row>
      <xdr:rowOff>49695</xdr:rowOff>
    </xdr:to>
    <xdr:sp macro="" textlink="">
      <xdr:nvSpPr>
        <xdr:cNvPr id="15" name="TextBox 14">
          <a:extLst>
            <a:ext uri="{FF2B5EF4-FFF2-40B4-BE49-F238E27FC236}">
              <a16:creationId xmlns:a16="http://schemas.microsoft.com/office/drawing/2014/main" id="{AF06F6EF-0870-69C5-560D-CCEB0DD6BED4}"/>
            </a:ext>
          </a:extLst>
        </xdr:cNvPr>
        <xdr:cNvSpPr txBox="1"/>
      </xdr:nvSpPr>
      <xdr:spPr>
        <a:xfrm>
          <a:off x="13781489" y="0"/>
          <a:ext cx="3123746" cy="830745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tx1"/>
            </a:solidFill>
          </a:endParaRPr>
        </a:p>
      </xdr:txBody>
    </xdr:sp>
    <xdr:clientData/>
  </xdr:twoCellAnchor>
  <xdr:twoCellAnchor editAs="oneCell">
    <xdr:from>
      <xdr:col>22</xdr:col>
      <xdr:colOff>578591</xdr:colOff>
      <xdr:row>10</xdr:row>
      <xdr:rowOff>98045</xdr:rowOff>
    </xdr:from>
    <xdr:to>
      <xdr:col>26</xdr:col>
      <xdr:colOff>119752</xdr:colOff>
      <xdr:row>22</xdr:row>
      <xdr:rowOff>80116</xdr:rowOff>
    </xdr:to>
    <mc:AlternateContent xmlns:mc="http://schemas.openxmlformats.org/markup-compatibility/2006">
      <mc:Choice xmlns:a14="http://schemas.microsoft.com/office/drawing/2010/main" Requires="a14">
        <xdr:graphicFrame macro="">
          <xdr:nvGraphicFramePr>
            <xdr:cNvPr id="8" name="Order Mode">
              <a:extLst>
                <a:ext uri="{FF2B5EF4-FFF2-40B4-BE49-F238E27FC236}">
                  <a16:creationId xmlns:a16="http://schemas.microsoft.com/office/drawing/2014/main" id="{F615D9AA-D48A-4AF3-B587-E7930B772C7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3830765" y="1978197"/>
              <a:ext cx="1611813" cy="21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573142</xdr:colOff>
      <xdr:row>22</xdr:row>
      <xdr:rowOff>150943</xdr:rowOff>
    </xdr:from>
    <xdr:to>
      <xdr:col>26</xdr:col>
      <xdr:colOff>114305</xdr:colOff>
      <xdr:row>35</xdr:row>
      <xdr:rowOff>27441</xdr:rowOff>
    </xdr:to>
    <mc:AlternateContent xmlns:mc="http://schemas.openxmlformats.org/markup-compatibility/2006">
      <mc:Choice xmlns:a14="http://schemas.microsoft.com/office/drawing/2010/main" Requires="a14">
        <xdr:graphicFrame macro="">
          <xdr:nvGraphicFramePr>
            <xdr:cNvPr id="9" name="Gender Value">
              <a:extLst>
                <a:ext uri="{FF2B5EF4-FFF2-40B4-BE49-F238E27FC236}">
                  <a16:creationId xmlns:a16="http://schemas.microsoft.com/office/drawing/2014/main" id="{2FACD332-DDD2-4795-A059-05A22140827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3825316" y="4217704"/>
              <a:ext cx="1611815" cy="224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592000</xdr:colOff>
      <xdr:row>0</xdr:row>
      <xdr:rowOff>101236</xdr:rowOff>
    </xdr:from>
    <xdr:to>
      <xdr:col>14</xdr:col>
      <xdr:colOff>307644</xdr:colOff>
      <xdr:row>2</xdr:row>
      <xdr:rowOff>36187</xdr:rowOff>
    </xdr:to>
    <xdr:sp macro="" textlink="">
      <xdr:nvSpPr>
        <xdr:cNvPr id="14" name="TextBox 13">
          <a:extLst>
            <a:ext uri="{FF2B5EF4-FFF2-40B4-BE49-F238E27FC236}">
              <a16:creationId xmlns:a16="http://schemas.microsoft.com/office/drawing/2014/main" id="{E25F2CA3-B5AF-6A90-6ED0-A2D80B560A43}"/>
            </a:ext>
          </a:extLst>
        </xdr:cNvPr>
        <xdr:cNvSpPr txBox="1"/>
      </xdr:nvSpPr>
      <xdr:spPr>
        <a:xfrm>
          <a:off x="7082447" y="101236"/>
          <a:ext cx="1544444" cy="34732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1"/>
              </a:solidFill>
              <a:latin typeface="+mn-lt"/>
              <a:ea typeface="+mn-ea"/>
              <a:cs typeface="+mn-cs"/>
            </a:rPr>
            <a:t>How They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44.633313078702" createdVersion="8" refreshedVersion="8" minRefreshableVersion="3" recordCount="2400" xr:uid="{83FBB233-448C-4CE2-81DB-5E23FEB1FDF7}">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85473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B0F6E-6C77-4823-9F2D-06AC409355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7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B2138-046B-4F28-9F7E-1BF473EFD7A3}" name="pvt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8:F50"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6" format="8" series="1">
      <pivotArea type="data" outline="0" fieldPosition="0">
        <references count="2">
          <reference field="4294967294" count="1" selected="0">
            <x v="0"/>
          </reference>
          <reference field="14" count="1" selected="0">
            <x v="0"/>
          </reference>
        </references>
      </pivotArea>
    </chartFormat>
    <chartFormat chart="16" format="9" series="1">
      <pivotArea type="data" outline="0" fieldPosition="0">
        <references count="2">
          <reference field="4294967294" count="1" selected="0">
            <x v="0"/>
          </reference>
          <reference field="14" count="1" selected="0">
            <x v="1"/>
          </reference>
        </references>
      </pivotArea>
    </chartFormat>
    <chartFormat chart="16" format="10" series="1">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3633B-37B4-40A2-97D9-11947E4C3F27}" name="pvt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6:B2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3AD715-2AB2-4E10-943F-A8506A969F62}" name="pvt_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4F0399-E229-4842-A30A-5D3A379ABEB0}" name="pvt_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B34:AE9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FCF65-4D4C-4631-8822-F63BCAC3EE7F}" name="pie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33:R38"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4" count="1" selected="0">
            <x v="0"/>
          </reference>
        </references>
      </pivotArea>
    </chartFormat>
    <chartFormat chart="14" format="8">
      <pivotArea type="data" outline="0" fieldPosition="0">
        <references count="2">
          <reference field="4294967294" count="1" selected="0">
            <x v="0"/>
          </reference>
          <reference field="14" count="1" selected="0">
            <x v="1"/>
          </reference>
        </references>
      </pivotArea>
    </chartFormat>
    <chartFormat chart="14" format="9">
      <pivotArea type="data" outline="0" fieldPosition="0">
        <references count="2">
          <reference field="4294967294" count="1" selected="0">
            <x v="0"/>
          </reference>
          <reference field="14" count="1" selected="0">
            <x v="2"/>
          </reference>
        </references>
      </pivotArea>
    </chartFormat>
    <chartFormat chart="14" format="10">
      <pivotArea type="data" outline="0" fieldPosition="0">
        <references count="2">
          <reference field="4294967294" count="1" selected="0">
            <x v="0"/>
          </reference>
          <reference field="14" count="1" selected="0">
            <x v="3"/>
          </reference>
        </references>
      </pivotArea>
    </chartFormat>
    <chartFormat chart="11" format="1">
      <pivotArea type="data" outline="0" fieldPosition="0">
        <references count="2">
          <reference field="4294967294" count="1" selected="0">
            <x v="0"/>
          </reference>
          <reference field="14" count="1" selected="0">
            <x v="0"/>
          </reference>
        </references>
      </pivotArea>
    </chartFormat>
    <chartFormat chart="11" format="2">
      <pivotArea type="data" outline="0" fieldPosition="0">
        <references count="2">
          <reference field="4294967294" count="1" selected="0">
            <x v="0"/>
          </reference>
          <reference field="14" count="1" selected="0">
            <x v="1"/>
          </reference>
        </references>
      </pivotArea>
    </chartFormat>
    <chartFormat chart="11" format="3">
      <pivotArea type="data" outline="0" fieldPosition="0">
        <references count="2">
          <reference field="4294967294" count="1" selected="0">
            <x v="0"/>
          </reference>
          <reference field="14" count="1" selected="0">
            <x v="2"/>
          </reference>
        </references>
      </pivotArea>
    </chartFormat>
    <chartFormat chart="11"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B234E6-7771-4C6D-954A-0E2AD75B72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9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A0F6E-CDE6-448B-94C1-9006120093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G35"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2" format="4" series="1">
      <pivotArea type="data" outline="0" fieldPosition="0">
        <references count="2">
          <reference field="4294967294" count="1" selected="0">
            <x v="0"/>
          </reference>
          <reference field="9" count="1" selected="0">
            <x v="4"/>
          </reference>
        </references>
      </pivotArea>
    </chartFormat>
    <chartFormat chart="5" format="10" series="1">
      <pivotArea type="data" outline="0" fieldPosition="0">
        <references count="2">
          <reference field="4294967294" count="1" selected="0">
            <x v="0"/>
          </reference>
          <reference field="9" count="1" selected="0">
            <x v="0"/>
          </reference>
        </references>
      </pivotArea>
    </chartFormat>
    <chartFormat chart="5" format="11" series="1">
      <pivotArea type="data" outline="0" fieldPosition="0">
        <references count="2">
          <reference field="4294967294" count="1" selected="0">
            <x v="0"/>
          </reference>
          <reference field="9" count="1" selected="0">
            <x v="1"/>
          </reference>
        </references>
      </pivotArea>
    </chartFormat>
    <chartFormat chart="5" format="12" series="1">
      <pivotArea type="data" outline="0" fieldPosition="0">
        <references count="2">
          <reference field="4294967294" count="1" selected="0">
            <x v="0"/>
          </reference>
          <reference field="9" count="1" selected="0">
            <x v="2"/>
          </reference>
        </references>
      </pivotArea>
    </chartFormat>
    <chartFormat chart="5" format="13" series="1">
      <pivotArea type="data" outline="0" fieldPosition="0">
        <references count="2">
          <reference field="4294967294" count="1" selected="0">
            <x v="0"/>
          </reference>
          <reference field="9" count="1" selected="0">
            <x v="3"/>
          </reference>
        </references>
      </pivotArea>
    </chartFormat>
    <chartFormat chart="5"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3CFA7-38E2-422B-8D05-52138C74AA93}" name="pvt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A91CA1-51C1-4981-9A56-35CEFEBA907B}" name="pvt_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D39E4AE-E40E-4A72-9A95-FC655BBACC81}" sourceName="Order Mode">
  <pivotTables>
    <pivotTable tabId="5" name="PivotTable3"/>
    <pivotTable tabId="5" name="pvt_summary"/>
    <pivotTable tabId="7" name="PivotTable1"/>
    <pivotTable tabId="7" name="PivotTable2"/>
    <pivotTable tabId="7" name="pvt_map"/>
    <pivotTable tabId="7" name="pvt_quantity"/>
    <pivotTable tabId="5" name="pvt_trend"/>
  </pivotTables>
  <data>
    <tabular pivotCacheId="58547359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5F66F40-B958-4BEF-8324-59334EBBDE2C}" sourceName="Gender Value">
  <pivotTables>
    <pivotTable tabId="5" name="PivotTable3"/>
    <pivotTable tabId="5" name="pvt_trend"/>
    <pivotTable tabId="7" name="PivotTable1"/>
    <pivotTable tabId="7" name="PivotTable2"/>
    <pivotTable tabId="7" name="pvt_map"/>
    <pivotTable tabId="7" name="pvt_quantity"/>
  </pivotTables>
  <data>
    <tabular pivotCacheId="5854735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1675016-5CC9-4D3C-9747-D0C53651A986}" cache="Slicer_Order_Mode" caption="Order Mode" rowHeight="247650"/>
  <slicer name="Gender Value" xr10:uid="{D97D417E-8541-4B2D-A13E-F32C103CBC19}"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D10" sqref="D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D23F-4459-4E91-A034-981FF50C629A}">
  <dimension ref="A2:AP93"/>
  <sheetViews>
    <sheetView topLeftCell="AA33" workbookViewId="0">
      <selection activeCell="AD45" sqref="AD45"/>
    </sheetView>
  </sheetViews>
  <sheetFormatPr defaultRowHeight="14.4" x14ac:dyDescent="0.3"/>
  <cols>
    <col min="1" max="1" width="12.44140625" bestFit="1" customWidth="1"/>
    <col min="2" max="2" width="12.21875" bestFit="1" customWidth="1"/>
    <col min="3" max="3" width="5" bestFit="1" customWidth="1"/>
    <col min="4" max="4" width="5.6640625" bestFit="1" customWidth="1"/>
    <col min="5" max="5" width="8.5546875" bestFit="1" customWidth="1"/>
    <col min="6" max="6" width="10.5546875" bestFit="1" customWidth="1"/>
    <col min="9" max="9" width="11" customWidth="1"/>
    <col min="10" max="10" width="8.44140625" customWidth="1"/>
    <col min="11" max="11" width="7" customWidth="1"/>
    <col min="12" max="12" width="7.21875" customWidth="1"/>
    <col min="13" max="13" width="8.5546875" customWidth="1"/>
    <col min="17" max="17" width="12.44140625" bestFit="1" customWidth="1"/>
    <col min="18" max="18" width="14.21875" bestFit="1" customWidth="1"/>
    <col min="28" max="28" width="22.77734375" bestFit="1" customWidth="1"/>
    <col min="29" max="29" width="19.6640625" bestFit="1" customWidth="1"/>
    <col min="30" max="30" width="14.21875" bestFit="1" customWidth="1"/>
    <col min="31" max="31" width="13.5546875" bestFit="1" customWidth="1"/>
    <col min="35" max="36" width="19.6640625" bestFit="1" customWidth="1"/>
    <col min="41" max="41" width="19.6640625" bestFit="1" customWidth="1"/>
  </cols>
  <sheetData>
    <row r="2" spans="1:16" x14ac:dyDescent="0.3">
      <c r="J2" t="s">
        <v>2564</v>
      </c>
    </row>
    <row r="3" spans="1:16" x14ac:dyDescent="0.3">
      <c r="A3" s="12" t="s">
        <v>2551</v>
      </c>
      <c r="B3" s="12" t="s">
        <v>2559</v>
      </c>
    </row>
    <row r="4" spans="1:16" x14ac:dyDescent="0.3">
      <c r="A4" s="12" t="s">
        <v>2557</v>
      </c>
      <c r="B4" t="s">
        <v>2560</v>
      </c>
      <c r="C4" t="s">
        <v>2561</v>
      </c>
      <c r="D4" t="s">
        <v>2562</v>
      </c>
      <c r="E4" t="s">
        <v>2563</v>
      </c>
      <c r="F4" t="s">
        <v>2558</v>
      </c>
      <c r="J4" t="str" cm="1">
        <f t="array" ref="J4:M4">B4:E4</f>
        <v>Female</v>
      </c>
      <c r="K4" t="str">
        <v>Male</v>
      </c>
      <c r="L4" t="str">
        <v>Other</v>
      </c>
      <c r="M4" t="str">
        <v>Unknown</v>
      </c>
    </row>
    <row r="5" spans="1:16" x14ac:dyDescent="0.3">
      <c r="A5" s="13" t="s">
        <v>18</v>
      </c>
      <c r="B5" s="15">
        <v>0.18961825201634841</v>
      </c>
      <c r="C5" s="15">
        <v>0.12262322351336576</v>
      </c>
      <c r="D5" s="15">
        <v>1.060537752469185E-2</v>
      </c>
      <c r="E5" s="15">
        <v>3.0599220547662797E-2</v>
      </c>
      <c r="F5" s="15">
        <v>0.35344607360206881</v>
      </c>
      <c r="I5" s="17" t="str" cm="1">
        <f t="array" ref="I5:M9">A5:E9</f>
        <v>App</v>
      </c>
      <c r="J5" s="23">
        <v>0.18961825201634841</v>
      </c>
      <c r="K5" s="23">
        <v>0.12262322351336576</v>
      </c>
      <c r="L5" s="23">
        <v>1.060537752469185E-2</v>
      </c>
      <c r="M5" s="24">
        <v>3.0599220547662797E-2</v>
      </c>
      <c r="P5" s="16"/>
    </row>
    <row r="6" spans="1:16" x14ac:dyDescent="0.3">
      <c r="A6" s="13" t="s">
        <v>51</v>
      </c>
      <c r="B6" s="15">
        <v>5.0283982091147303E-2</v>
      </c>
      <c r="C6" s="15">
        <v>4.3060781812819873E-2</v>
      </c>
      <c r="D6" s="15">
        <v>1.5320025675641944E-3</v>
      </c>
      <c r="E6" s="15">
        <v>1.7794988689097006E-2</v>
      </c>
      <c r="F6" s="15">
        <v>0.11267175516062837</v>
      </c>
      <c r="I6" s="18" t="str">
        <v>Instagram</v>
      </c>
      <c r="J6" s="16">
        <v>5.0283982091147303E-2</v>
      </c>
      <c r="K6" s="16">
        <v>4.3060781812819873E-2</v>
      </c>
      <c r="L6" s="16">
        <v>1.5320025675641944E-3</v>
      </c>
      <c r="M6" s="19">
        <v>1.7794988689097006E-2</v>
      </c>
    </row>
    <row r="7" spans="1:16" x14ac:dyDescent="0.3">
      <c r="A7" s="13" t="s">
        <v>70</v>
      </c>
      <c r="B7" s="15">
        <v>6.3496059750411282E-2</v>
      </c>
      <c r="C7" s="15">
        <v>4.6071629863988765E-2</v>
      </c>
      <c r="D7" s="15">
        <v>2.306247051322625E-3</v>
      </c>
      <c r="E7" s="15">
        <v>3.8927934093844286E-3</v>
      </c>
      <c r="F7" s="15">
        <v>0.11576673007510711</v>
      </c>
      <c r="I7" s="18" t="str">
        <v>Partner App</v>
      </c>
      <c r="J7" s="16">
        <v>6.3496059750411282E-2</v>
      </c>
      <c r="K7" s="16">
        <v>4.6071629863988765E-2</v>
      </c>
      <c r="L7" s="16">
        <v>2.306247051322625E-3</v>
      </c>
      <c r="M7" s="19">
        <v>3.8927934093844286E-3</v>
      </c>
    </row>
    <row r="8" spans="1:16" x14ac:dyDescent="0.3">
      <c r="A8" s="13" t="s">
        <v>40</v>
      </c>
      <c r="B8" s="15">
        <v>9.6337892927149532E-2</v>
      </c>
      <c r="C8" s="15">
        <v>6.7920115842382611E-2</v>
      </c>
      <c r="D8" s="15">
        <v>5.4979832664581261E-3</v>
      </c>
      <c r="E8" s="15">
        <v>1.2933041488102518E-2</v>
      </c>
      <c r="F8" s="15">
        <v>0.1826890335240928</v>
      </c>
      <c r="I8" s="18" t="str">
        <v>Target.com</v>
      </c>
      <c r="J8" s="16">
        <v>9.6337892927149532E-2</v>
      </c>
      <c r="K8" s="16">
        <v>6.7920115842382611E-2</v>
      </c>
      <c r="L8" s="16">
        <v>5.4979832664581261E-3</v>
      </c>
      <c r="M8" s="19">
        <v>1.2933041488102518E-2</v>
      </c>
    </row>
    <row r="9" spans="1:16" x14ac:dyDescent="0.3">
      <c r="A9" s="13" t="s">
        <v>35</v>
      </c>
      <c r="B9" s="15">
        <v>0.12522098709469262</v>
      </c>
      <c r="C9" s="15">
        <v>9.1492740283116228E-2</v>
      </c>
      <c r="D9" s="15">
        <v>6.3042760790965081E-3</v>
      </c>
      <c r="E9" s="15">
        <v>1.2408404181197551E-2</v>
      </c>
      <c r="F9" s="15">
        <v>0.23542640763810288</v>
      </c>
      <c r="I9" s="20" t="str">
        <v>Website</v>
      </c>
      <c r="J9" s="21">
        <v>0.12522098709469262</v>
      </c>
      <c r="K9" s="21">
        <v>9.1492740283116228E-2</v>
      </c>
      <c r="L9" s="21">
        <v>6.3042760790965081E-3</v>
      </c>
      <c r="M9" s="22">
        <v>1.2408404181197551E-2</v>
      </c>
    </row>
    <row r="10" spans="1:16" x14ac:dyDescent="0.3">
      <c r="A10" s="13" t="s">
        <v>2558</v>
      </c>
      <c r="B10" s="15">
        <v>0.52495717387974916</v>
      </c>
      <c r="C10" s="15">
        <v>0.3711684913156732</v>
      </c>
      <c r="D10" s="15">
        <v>2.6245886489133303E-2</v>
      </c>
      <c r="E10" s="15">
        <v>7.7628448315444312E-2</v>
      </c>
      <c r="F10" s="15">
        <v>1</v>
      </c>
    </row>
    <row r="16" spans="1:16" x14ac:dyDescent="0.3">
      <c r="A16" s="12" t="s">
        <v>2557</v>
      </c>
      <c r="B16" t="s">
        <v>2549</v>
      </c>
    </row>
    <row r="17" spans="1:6" x14ac:dyDescent="0.3">
      <c r="A17" s="13">
        <v>1</v>
      </c>
      <c r="B17">
        <v>397</v>
      </c>
    </row>
    <row r="18" spans="1:6" x14ac:dyDescent="0.3">
      <c r="A18" s="13">
        <v>2</v>
      </c>
      <c r="B18">
        <v>540</v>
      </c>
    </row>
    <row r="19" spans="1:6" x14ac:dyDescent="0.3">
      <c r="A19" s="13">
        <v>3</v>
      </c>
      <c r="B19">
        <v>375</v>
      </c>
    </row>
    <row r="20" spans="1:6" x14ac:dyDescent="0.3">
      <c r="A20" s="13">
        <v>4</v>
      </c>
      <c r="B20">
        <v>246</v>
      </c>
    </row>
    <row r="21" spans="1:6" x14ac:dyDescent="0.3">
      <c r="A21" s="13">
        <v>5</v>
      </c>
      <c r="B21">
        <v>195</v>
      </c>
    </row>
    <row r="22" spans="1:6" x14ac:dyDescent="0.3">
      <c r="A22" s="13" t="s">
        <v>2565</v>
      </c>
      <c r="B22">
        <v>414</v>
      </c>
    </row>
    <row r="23" spans="1:6" x14ac:dyDescent="0.3">
      <c r="A23" s="13" t="s">
        <v>2566</v>
      </c>
      <c r="B23">
        <v>233</v>
      </c>
    </row>
    <row r="24" spans="1:6" x14ac:dyDescent="0.3">
      <c r="A24" s="13" t="s">
        <v>2558</v>
      </c>
      <c r="B24">
        <v>2400</v>
      </c>
    </row>
    <row r="28" spans="1:6" x14ac:dyDescent="0.3">
      <c r="A28" s="12" t="s">
        <v>2550</v>
      </c>
      <c r="B28" s="12" t="s">
        <v>2559</v>
      </c>
    </row>
    <row r="29" spans="1:6" x14ac:dyDescent="0.3">
      <c r="A29" s="12" t="s">
        <v>2557</v>
      </c>
      <c r="B29" t="s">
        <v>2560</v>
      </c>
      <c r="C29" t="s">
        <v>2561</v>
      </c>
      <c r="D29" t="s">
        <v>2562</v>
      </c>
      <c r="E29" t="s">
        <v>2563</v>
      </c>
      <c r="F29" t="s">
        <v>2558</v>
      </c>
    </row>
    <row r="30" spans="1:6" x14ac:dyDescent="0.3">
      <c r="A30" s="13" t="s">
        <v>44</v>
      </c>
      <c r="B30">
        <v>744</v>
      </c>
      <c r="C30">
        <v>713</v>
      </c>
      <c r="D30">
        <v>90</v>
      </c>
      <c r="E30">
        <v>98</v>
      </c>
      <c r="F30">
        <v>1645</v>
      </c>
    </row>
    <row r="31" spans="1:6" x14ac:dyDescent="0.3">
      <c r="A31" s="13" t="s">
        <v>39</v>
      </c>
      <c r="B31">
        <v>716</v>
      </c>
      <c r="C31">
        <v>598</v>
      </c>
      <c r="D31">
        <v>18</v>
      </c>
      <c r="E31">
        <v>214</v>
      </c>
      <c r="F31">
        <v>1546</v>
      </c>
    </row>
    <row r="32" spans="1:6" x14ac:dyDescent="0.3">
      <c r="A32" s="13" t="s">
        <v>26</v>
      </c>
      <c r="B32">
        <v>627</v>
      </c>
      <c r="C32">
        <v>393</v>
      </c>
      <c r="D32">
        <v>29</v>
      </c>
      <c r="E32">
        <v>137</v>
      </c>
      <c r="F32">
        <v>1186</v>
      </c>
    </row>
    <row r="33" spans="1:42" x14ac:dyDescent="0.3">
      <c r="A33" s="13" t="s">
        <v>22</v>
      </c>
      <c r="B33">
        <v>568</v>
      </c>
      <c r="C33">
        <v>306</v>
      </c>
      <c r="D33">
        <v>22</v>
      </c>
      <c r="E33">
        <v>16</v>
      </c>
      <c r="F33">
        <v>912</v>
      </c>
      <c r="Q33" s="12" t="s">
        <v>2557</v>
      </c>
      <c r="R33" t="s">
        <v>2550</v>
      </c>
      <c r="AH33" t="s">
        <v>2569</v>
      </c>
      <c r="AN33" t="s">
        <v>2570</v>
      </c>
    </row>
    <row r="34" spans="1:42" x14ac:dyDescent="0.3">
      <c r="A34" s="13" t="s">
        <v>54</v>
      </c>
      <c r="B34">
        <v>482</v>
      </c>
      <c r="C34">
        <v>295</v>
      </c>
      <c r="D34">
        <v>8</v>
      </c>
      <c r="E34">
        <v>22</v>
      </c>
      <c r="F34">
        <v>807</v>
      </c>
      <c r="Q34" s="13" t="s">
        <v>2560</v>
      </c>
      <c r="R34">
        <v>6272</v>
      </c>
      <c r="AB34" s="12" t="s">
        <v>10</v>
      </c>
      <c r="AC34" s="12" t="s">
        <v>11</v>
      </c>
      <c r="AD34" t="s">
        <v>2550</v>
      </c>
      <c r="AE34" t="s">
        <v>2551</v>
      </c>
      <c r="AH34" t="s">
        <v>2567</v>
      </c>
      <c r="AI34" t="s">
        <v>2568</v>
      </c>
      <c r="AJ34" t="s">
        <v>2553</v>
      </c>
      <c r="AN34" t="s">
        <v>2567</v>
      </c>
      <c r="AO34" t="s">
        <v>2568</v>
      </c>
      <c r="AP34" t="s">
        <v>4</v>
      </c>
    </row>
    <row r="35" spans="1:42" x14ac:dyDescent="0.3">
      <c r="A35" s="13" t="s">
        <v>16</v>
      </c>
      <c r="B35">
        <v>428</v>
      </c>
      <c r="C35">
        <v>293</v>
      </c>
      <c r="E35">
        <v>24</v>
      </c>
      <c r="F35">
        <v>745</v>
      </c>
      <c r="Q35" s="13" t="s">
        <v>2561</v>
      </c>
      <c r="R35">
        <v>4672</v>
      </c>
      <c r="AB35" t="s">
        <v>19</v>
      </c>
      <c r="AC35" t="s">
        <v>115</v>
      </c>
      <c r="AD35">
        <v>579</v>
      </c>
      <c r="AE35">
        <v>31884.999999999996</v>
      </c>
      <c r="AH35" s="25" t="s">
        <v>19</v>
      </c>
      <c r="AI35" t="s">
        <v>115</v>
      </c>
      <c r="AJ35">
        <v>579</v>
      </c>
      <c r="AN35" s="25" t="s">
        <v>19</v>
      </c>
      <c r="AO35" t="s">
        <v>115</v>
      </c>
      <c r="AP35">
        <v>31884.999999999996</v>
      </c>
    </row>
    <row r="36" spans="1:42" x14ac:dyDescent="0.3">
      <c r="A36" s="13" t="s">
        <v>46</v>
      </c>
      <c r="B36">
        <v>445</v>
      </c>
      <c r="C36">
        <v>202</v>
      </c>
      <c r="D36">
        <v>14</v>
      </c>
      <c r="E36">
        <v>39</v>
      </c>
      <c r="F36">
        <v>700</v>
      </c>
      <c r="Q36" s="13" t="s">
        <v>2562</v>
      </c>
      <c r="R36">
        <v>317</v>
      </c>
      <c r="AB36" t="s">
        <v>19</v>
      </c>
      <c r="AC36" t="s">
        <v>20</v>
      </c>
      <c r="AD36">
        <v>1</v>
      </c>
      <c r="AE36">
        <v>10.9</v>
      </c>
      <c r="AH36" s="25" t="s">
        <v>19</v>
      </c>
      <c r="AI36" t="s">
        <v>20</v>
      </c>
      <c r="AJ36">
        <v>1</v>
      </c>
      <c r="AN36" s="25" t="s">
        <v>19</v>
      </c>
      <c r="AO36" t="s">
        <v>20</v>
      </c>
      <c r="AP36">
        <v>10.9</v>
      </c>
    </row>
    <row r="37" spans="1:42" x14ac:dyDescent="0.3">
      <c r="A37" s="13" t="s">
        <v>32</v>
      </c>
      <c r="B37">
        <v>431</v>
      </c>
      <c r="C37">
        <v>187</v>
      </c>
      <c r="D37">
        <v>14</v>
      </c>
      <c r="E37">
        <v>15</v>
      </c>
      <c r="F37">
        <v>647</v>
      </c>
      <c r="Q37" s="13" t="s">
        <v>2563</v>
      </c>
      <c r="R37">
        <v>736</v>
      </c>
      <c r="AB37" t="s">
        <v>19</v>
      </c>
      <c r="AC37" t="s">
        <v>641</v>
      </c>
      <c r="AD37">
        <v>9</v>
      </c>
      <c r="AE37">
        <v>800.3</v>
      </c>
      <c r="AH37" s="25" t="s">
        <v>19</v>
      </c>
      <c r="AI37" t="s">
        <v>641</v>
      </c>
      <c r="AJ37">
        <v>9</v>
      </c>
      <c r="AN37" s="25" t="s">
        <v>19</v>
      </c>
      <c r="AO37" t="s">
        <v>641</v>
      </c>
      <c r="AP37">
        <v>800.3</v>
      </c>
    </row>
    <row r="38" spans="1:42" x14ac:dyDescent="0.3">
      <c r="A38" s="13" t="s">
        <v>42</v>
      </c>
      <c r="B38">
        <v>264</v>
      </c>
      <c r="C38">
        <v>318</v>
      </c>
      <c r="D38">
        <v>15</v>
      </c>
      <c r="E38">
        <v>9</v>
      </c>
      <c r="F38">
        <v>606</v>
      </c>
      <c r="Q38" s="13" t="s">
        <v>2558</v>
      </c>
      <c r="R38">
        <v>11997</v>
      </c>
      <c r="AB38" t="s">
        <v>19</v>
      </c>
      <c r="AC38" t="s">
        <v>967</v>
      </c>
      <c r="AD38">
        <v>35</v>
      </c>
      <c r="AE38">
        <v>1062.5999999999999</v>
      </c>
      <c r="AH38" s="25" t="s">
        <v>19</v>
      </c>
      <c r="AI38" t="s">
        <v>967</v>
      </c>
      <c r="AJ38">
        <v>35</v>
      </c>
      <c r="AN38" s="25" t="s">
        <v>19</v>
      </c>
      <c r="AO38" t="s">
        <v>967</v>
      </c>
      <c r="AP38">
        <v>1062.5999999999999</v>
      </c>
    </row>
    <row r="39" spans="1:42" x14ac:dyDescent="0.3">
      <c r="A39" s="13" t="s">
        <v>37</v>
      </c>
      <c r="B39">
        <v>296</v>
      </c>
      <c r="C39">
        <v>275</v>
      </c>
      <c r="D39">
        <v>9</v>
      </c>
      <c r="E39">
        <v>23</v>
      </c>
      <c r="F39">
        <v>603</v>
      </c>
      <c r="AB39" t="s">
        <v>19</v>
      </c>
      <c r="AC39" t="s">
        <v>84</v>
      </c>
      <c r="AD39">
        <v>12</v>
      </c>
      <c r="AE39">
        <v>326.20000000000005</v>
      </c>
      <c r="AH39" s="25" t="s">
        <v>19</v>
      </c>
      <c r="AI39" t="s">
        <v>84</v>
      </c>
      <c r="AJ39">
        <v>12</v>
      </c>
      <c r="AN39" s="25" t="s">
        <v>19</v>
      </c>
      <c r="AO39" t="s">
        <v>84</v>
      </c>
      <c r="AP39">
        <v>326.20000000000005</v>
      </c>
    </row>
    <row r="40" spans="1:42" x14ac:dyDescent="0.3">
      <c r="A40" s="13" t="s">
        <v>123</v>
      </c>
      <c r="B40">
        <v>153</v>
      </c>
      <c r="C40">
        <v>246</v>
      </c>
      <c r="D40">
        <v>30</v>
      </c>
      <c r="E40">
        <v>8</v>
      </c>
      <c r="F40">
        <v>437</v>
      </c>
      <c r="AB40" t="s">
        <v>19</v>
      </c>
      <c r="AC40" t="s">
        <v>1383</v>
      </c>
      <c r="AD40">
        <v>4</v>
      </c>
      <c r="AE40">
        <v>167.5</v>
      </c>
      <c r="AH40" s="25" t="s">
        <v>19</v>
      </c>
      <c r="AI40" t="s">
        <v>1383</v>
      </c>
      <c r="AJ40">
        <v>4</v>
      </c>
      <c r="AN40" s="25" t="s">
        <v>19</v>
      </c>
      <c r="AO40" t="s">
        <v>1383</v>
      </c>
      <c r="AP40">
        <v>167.5</v>
      </c>
    </row>
    <row r="41" spans="1:42" x14ac:dyDescent="0.3">
      <c r="A41" s="13" t="s">
        <v>146</v>
      </c>
      <c r="B41">
        <v>189</v>
      </c>
      <c r="C41">
        <v>168</v>
      </c>
      <c r="D41">
        <v>10</v>
      </c>
      <c r="E41">
        <v>31</v>
      </c>
      <c r="F41">
        <v>398</v>
      </c>
      <c r="AB41" t="s">
        <v>19</v>
      </c>
      <c r="AC41" t="s">
        <v>24</v>
      </c>
      <c r="AD41">
        <v>341</v>
      </c>
      <c r="AE41">
        <v>16168.7</v>
      </c>
      <c r="AH41" s="25" t="s">
        <v>19</v>
      </c>
      <c r="AI41" t="s">
        <v>24</v>
      </c>
      <c r="AJ41">
        <v>341</v>
      </c>
      <c r="AN41" s="25" t="s">
        <v>19</v>
      </c>
      <c r="AO41" t="s">
        <v>24</v>
      </c>
      <c r="AP41">
        <v>16168.7</v>
      </c>
    </row>
    <row r="42" spans="1:42" x14ac:dyDescent="0.3">
      <c r="A42" s="13" t="s">
        <v>69</v>
      </c>
      <c r="B42">
        <v>234</v>
      </c>
      <c r="C42">
        <v>93</v>
      </c>
      <c r="D42">
        <v>19</v>
      </c>
      <c r="E42">
        <v>24</v>
      </c>
      <c r="F42">
        <v>370</v>
      </c>
      <c r="AB42" t="s">
        <v>19</v>
      </c>
      <c r="AC42" t="s">
        <v>2204</v>
      </c>
      <c r="AD42">
        <v>13</v>
      </c>
      <c r="AE42">
        <v>322.40000000000003</v>
      </c>
      <c r="AH42" s="25" t="s">
        <v>19</v>
      </c>
      <c r="AI42" t="s">
        <v>2204</v>
      </c>
      <c r="AJ42">
        <v>13</v>
      </c>
      <c r="AN42" s="25" t="s">
        <v>19</v>
      </c>
      <c r="AO42" t="s">
        <v>2204</v>
      </c>
      <c r="AP42">
        <v>322.40000000000003</v>
      </c>
    </row>
    <row r="43" spans="1:42" x14ac:dyDescent="0.3">
      <c r="A43" s="13" t="s">
        <v>30</v>
      </c>
      <c r="B43">
        <v>146</v>
      </c>
      <c r="C43">
        <v>94</v>
      </c>
      <c r="D43">
        <v>4</v>
      </c>
      <c r="E43">
        <v>28</v>
      </c>
      <c r="F43">
        <v>272</v>
      </c>
      <c r="AB43" t="s">
        <v>19</v>
      </c>
      <c r="AC43" t="s">
        <v>437</v>
      </c>
      <c r="AD43">
        <v>31</v>
      </c>
      <c r="AE43">
        <v>2092.8000000000002</v>
      </c>
      <c r="AH43" s="25" t="s">
        <v>19</v>
      </c>
      <c r="AI43" t="s">
        <v>437</v>
      </c>
      <c r="AJ43">
        <v>31</v>
      </c>
      <c r="AN43" s="25" t="s">
        <v>19</v>
      </c>
      <c r="AO43" t="s">
        <v>437</v>
      </c>
      <c r="AP43">
        <v>2092.8000000000002</v>
      </c>
    </row>
    <row r="44" spans="1:42" x14ac:dyDescent="0.3">
      <c r="A44" s="13" t="s">
        <v>135</v>
      </c>
      <c r="B44">
        <v>127</v>
      </c>
      <c r="C44">
        <v>118</v>
      </c>
      <c r="D44">
        <v>13</v>
      </c>
      <c r="E44">
        <v>12</v>
      </c>
      <c r="F44">
        <v>270</v>
      </c>
      <c r="AB44" t="s">
        <v>19</v>
      </c>
      <c r="AC44" t="s">
        <v>28</v>
      </c>
      <c r="AD44">
        <v>279</v>
      </c>
      <c r="AE44">
        <v>12662.500000000002</v>
      </c>
      <c r="AH44" s="25" t="s">
        <v>19</v>
      </c>
      <c r="AI44" t="s">
        <v>28</v>
      </c>
      <c r="AJ44">
        <v>279</v>
      </c>
      <c r="AN44" s="25" t="s">
        <v>19</v>
      </c>
      <c r="AO44" t="s">
        <v>28</v>
      </c>
      <c r="AP44">
        <v>12662.500000000002</v>
      </c>
    </row>
    <row r="45" spans="1:42" x14ac:dyDescent="0.3">
      <c r="A45" s="13" t="s">
        <v>67</v>
      </c>
      <c r="B45">
        <v>179</v>
      </c>
      <c r="C45">
        <v>76</v>
      </c>
      <c r="D45">
        <v>3</v>
      </c>
      <c r="F45">
        <v>258</v>
      </c>
      <c r="AB45" t="s">
        <v>19</v>
      </c>
      <c r="AC45" t="s">
        <v>208</v>
      </c>
      <c r="AD45">
        <v>9</v>
      </c>
      <c r="AE45">
        <v>343.2</v>
      </c>
      <c r="AH45" s="25" t="s">
        <v>19</v>
      </c>
      <c r="AI45" t="s">
        <v>208</v>
      </c>
      <c r="AJ45">
        <v>9</v>
      </c>
      <c r="AN45" s="25" t="s">
        <v>19</v>
      </c>
      <c r="AO45" t="s">
        <v>208</v>
      </c>
      <c r="AP45">
        <v>343.2</v>
      </c>
    </row>
    <row r="46" spans="1:42" x14ac:dyDescent="0.3">
      <c r="A46" s="13" t="s">
        <v>128</v>
      </c>
      <c r="B46">
        <v>99</v>
      </c>
      <c r="C46">
        <v>69</v>
      </c>
      <c r="D46">
        <v>3</v>
      </c>
      <c r="E46">
        <v>24</v>
      </c>
      <c r="F46">
        <v>195</v>
      </c>
      <c r="AB46" t="s">
        <v>19</v>
      </c>
      <c r="AC46" t="s">
        <v>587</v>
      </c>
      <c r="AD46">
        <v>49</v>
      </c>
      <c r="AE46">
        <v>2188.2999999999997</v>
      </c>
      <c r="AH46" s="25" t="s">
        <v>19</v>
      </c>
      <c r="AI46" t="s">
        <v>587</v>
      </c>
      <c r="AJ46">
        <v>49</v>
      </c>
      <c r="AN46" s="25" t="s">
        <v>19</v>
      </c>
      <c r="AO46" t="s">
        <v>587</v>
      </c>
      <c r="AP46">
        <v>2188.2999999999997</v>
      </c>
    </row>
    <row r="47" spans="1:42" x14ac:dyDescent="0.3">
      <c r="A47" s="13" t="s">
        <v>76</v>
      </c>
      <c r="B47">
        <v>75</v>
      </c>
      <c r="C47">
        <v>103</v>
      </c>
      <c r="D47">
        <v>4</v>
      </c>
      <c r="E47">
        <v>6</v>
      </c>
      <c r="F47">
        <v>188</v>
      </c>
      <c r="AB47" t="s">
        <v>19</v>
      </c>
      <c r="AC47" t="s">
        <v>331</v>
      </c>
      <c r="AD47">
        <v>59</v>
      </c>
      <c r="AE47">
        <v>2661.5999999999995</v>
      </c>
      <c r="AH47" s="25" t="s">
        <v>19</v>
      </c>
      <c r="AI47" t="s">
        <v>331</v>
      </c>
      <c r="AJ47">
        <v>59</v>
      </c>
      <c r="AN47" s="25" t="s">
        <v>19</v>
      </c>
      <c r="AO47" t="s">
        <v>331</v>
      </c>
      <c r="AP47">
        <v>2661.5999999999995</v>
      </c>
    </row>
    <row r="48" spans="1:42" x14ac:dyDescent="0.3">
      <c r="A48" s="13" t="s">
        <v>81</v>
      </c>
      <c r="B48">
        <v>43</v>
      </c>
      <c r="C48">
        <v>90</v>
      </c>
      <c r="D48">
        <v>8</v>
      </c>
      <c r="E48">
        <v>6</v>
      </c>
      <c r="F48">
        <v>147</v>
      </c>
      <c r="AB48" t="s">
        <v>19</v>
      </c>
      <c r="AC48" t="s">
        <v>86</v>
      </c>
      <c r="AD48">
        <v>8</v>
      </c>
      <c r="AE48">
        <v>887.5</v>
      </c>
      <c r="AH48" s="25" t="s">
        <v>19</v>
      </c>
      <c r="AI48" t="s">
        <v>86</v>
      </c>
      <c r="AJ48">
        <v>8</v>
      </c>
      <c r="AN48" s="25" t="s">
        <v>19</v>
      </c>
      <c r="AO48" t="s">
        <v>86</v>
      </c>
      <c r="AP48">
        <v>887.5</v>
      </c>
    </row>
    <row r="49" spans="1:42" x14ac:dyDescent="0.3">
      <c r="A49" s="13" t="s">
        <v>171</v>
      </c>
      <c r="B49">
        <v>26</v>
      </c>
      <c r="C49">
        <v>35</v>
      </c>
      <c r="D49">
        <v>4</v>
      </c>
      <c r="F49">
        <v>65</v>
      </c>
      <c r="AB49" t="s">
        <v>19</v>
      </c>
      <c r="AC49" t="s">
        <v>147</v>
      </c>
      <c r="AD49">
        <v>222</v>
      </c>
      <c r="AE49">
        <v>11354.199999999993</v>
      </c>
      <c r="AH49" s="25" t="s">
        <v>19</v>
      </c>
      <c r="AI49" t="s">
        <v>147</v>
      </c>
      <c r="AJ49">
        <v>222</v>
      </c>
      <c r="AN49" s="25" t="s">
        <v>19</v>
      </c>
      <c r="AO49" t="s">
        <v>147</v>
      </c>
      <c r="AP49">
        <v>11354.199999999993</v>
      </c>
    </row>
    <row r="50" spans="1:42" x14ac:dyDescent="0.3">
      <c r="A50" s="13" t="s">
        <v>2558</v>
      </c>
      <c r="B50">
        <v>6272</v>
      </c>
      <c r="C50">
        <v>4672</v>
      </c>
      <c r="D50">
        <v>317</v>
      </c>
      <c r="E50">
        <v>736</v>
      </c>
      <c r="F50">
        <v>11997</v>
      </c>
      <c r="AB50" t="s">
        <v>19</v>
      </c>
      <c r="AC50" t="s">
        <v>334</v>
      </c>
      <c r="AD50">
        <v>36</v>
      </c>
      <c r="AE50">
        <v>1558.4</v>
      </c>
      <c r="AH50" s="25" t="s">
        <v>19</v>
      </c>
      <c r="AI50" t="s">
        <v>334</v>
      </c>
      <c r="AJ50">
        <v>36</v>
      </c>
      <c r="AN50" s="25" t="s">
        <v>19</v>
      </c>
      <c r="AO50" t="s">
        <v>334</v>
      </c>
      <c r="AP50">
        <v>1558.4</v>
      </c>
    </row>
    <row r="51" spans="1:42" x14ac:dyDescent="0.3">
      <c r="AB51" t="s">
        <v>19</v>
      </c>
      <c r="AC51" t="s">
        <v>949</v>
      </c>
      <c r="AD51">
        <v>30</v>
      </c>
      <c r="AE51">
        <v>2223.9</v>
      </c>
      <c r="AH51" s="25" t="s">
        <v>19</v>
      </c>
      <c r="AI51" t="s">
        <v>949</v>
      </c>
      <c r="AJ51">
        <v>30</v>
      </c>
      <c r="AN51" s="25" t="s">
        <v>19</v>
      </c>
      <c r="AO51" t="s">
        <v>949</v>
      </c>
      <c r="AP51">
        <v>2223.9</v>
      </c>
    </row>
    <row r="52" spans="1:42" x14ac:dyDescent="0.3">
      <c r="AB52" t="s">
        <v>19</v>
      </c>
      <c r="AC52" t="s">
        <v>1426</v>
      </c>
      <c r="AD52">
        <v>1</v>
      </c>
      <c r="AE52">
        <v>26.2</v>
      </c>
      <c r="AH52" s="25" t="s">
        <v>19</v>
      </c>
      <c r="AI52" t="s">
        <v>1426</v>
      </c>
      <c r="AJ52">
        <v>1</v>
      </c>
      <c r="AN52" s="25" t="s">
        <v>19</v>
      </c>
      <c r="AO52" t="s">
        <v>1426</v>
      </c>
      <c r="AP52">
        <v>26.2</v>
      </c>
    </row>
    <row r="53" spans="1:42" x14ac:dyDescent="0.3">
      <c r="AB53" t="s">
        <v>19</v>
      </c>
      <c r="AC53" t="s">
        <v>33</v>
      </c>
      <c r="AD53">
        <v>3991</v>
      </c>
      <c r="AE53">
        <v>215551.19999999981</v>
      </c>
      <c r="AH53" s="25" t="s">
        <v>19</v>
      </c>
      <c r="AI53" t="s">
        <v>33</v>
      </c>
      <c r="AJ53">
        <v>3991</v>
      </c>
      <c r="AN53" s="25" t="s">
        <v>19</v>
      </c>
      <c r="AO53" t="s">
        <v>33</v>
      </c>
      <c r="AP53">
        <v>215551.19999999981</v>
      </c>
    </row>
    <row r="54" spans="1:42" x14ac:dyDescent="0.3">
      <c r="AB54" t="s">
        <v>19</v>
      </c>
      <c r="AC54" t="s">
        <v>364</v>
      </c>
      <c r="AD54">
        <v>45</v>
      </c>
      <c r="AE54">
        <v>2687.3999999999996</v>
      </c>
      <c r="AH54" s="25" t="s">
        <v>19</v>
      </c>
      <c r="AI54" t="s">
        <v>364</v>
      </c>
      <c r="AJ54">
        <v>45</v>
      </c>
      <c r="AN54" s="25" t="s">
        <v>19</v>
      </c>
      <c r="AO54" t="s">
        <v>364</v>
      </c>
      <c r="AP54">
        <v>2687.3999999999996</v>
      </c>
    </row>
    <row r="55" spans="1:42" x14ac:dyDescent="0.3">
      <c r="AB55" t="s">
        <v>19</v>
      </c>
      <c r="AC55" t="s">
        <v>545</v>
      </c>
      <c r="AD55">
        <v>39</v>
      </c>
      <c r="AE55">
        <v>1463.3000000000002</v>
      </c>
      <c r="AH55" s="25" t="s">
        <v>19</v>
      </c>
      <c r="AI55" t="s">
        <v>545</v>
      </c>
      <c r="AJ55">
        <v>39</v>
      </c>
      <c r="AN55" s="25" t="s">
        <v>19</v>
      </c>
      <c r="AO55" t="s">
        <v>545</v>
      </c>
      <c r="AP55">
        <v>1463.3000000000002</v>
      </c>
    </row>
    <row r="56" spans="1:42" x14ac:dyDescent="0.3">
      <c r="AB56" t="s">
        <v>19</v>
      </c>
      <c r="AC56" t="s">
        <v>416</v>
      </c>
      <c r="AD56">
        <v>6</v>
      </c>
      <c r="AE56">
        <v>445.79999999999995</v>
      </c>
      <c r="AH56" s="25" t="s">
        <v>19</v>
      </c>
      <c r="AI56" t="s">
        <v>416</v>
      </c>
      <c r="AJ56">
        <v>6</v>
      </c>
      <c r="AN56" s="25" t="s">
        <v>19</v>
      </c>
      <c r="AO56" t="s">
        <v>416</v>
      </c>
      <c r="AP56">
        <v>445.79999999999995</v>
      </c>
    </row>
    <row r="57" spans="1:42" x14ac:dyDescent="0.3">
      <c r="AB57" t="s">
        <v>19</v>
      </c>
      <c r="AC57" t="s">
        <v>258</v>
      </c>
      <c r="AD57">
        <v>9</v>
      </c>
      <c r="AE57">
        <v>273.59999999999997</v>
      </c>
      <c r="AH57" s="25" t="s">
        <v>19</v>
      </c>
      <c r="AI57" t="s">
        <v>258</v>
      </c>
      <c r="AJ57">
        <v>9</v>
      </c>
      <c r="AN57" s="25" t="s">
        <v>19</v>
      </c>
      <c r="AO57" t="s">
        <v>258</v>
      </c>
      <c r="AP57">
        <v>273.59999999999997</v>
      </c>
    </row>
    <row r="58" spans="1:42" x14ac:dyDescent="0.3">
      <c r="AB58" t="s">
        <v>19</v>
      </c>
      <c r="AC58" t="s">
        <v>186</v>
      </c>
      <c r="AD58">
        <v>60</v>
      </c>
      <c r="AE58">
        <v>2690.4</v>
      </c>
      <c r="AH58" s="25" t="s">
        <v>19</v>
      </c>
      <c r="AI58" t="s">
        <v>186</v>
      </c>
      <c r="AJ58">
        <v>60</v>
      </c>
      <c r="AN58" s="25" t="s">
        <v>19</v>
      </c>
      <c r="AO58" t="s">
        <v>186</v>
      </c>
      <c r="AP58">
        <v>2690.4</v>
      </c>
    </row>
    <row r="59" spans="1:42" x14ac:dyDescent="0.3">
      <c r="AB59" t="s">
        <v>19</v>
      </c>
      <c r="AC59" t="s">
        <v>392</v>
      </c>
      <c r="AD59">
        <v>2</v>
      </c>
      <c r="AE59">
        <v>28.4</v>
      </c>
      <c r="AH59" s="25" t="s">
        <v>19</v>
      </c>
      <c r="AI59" t="s">
        <v>392</v>
      </c>
      <c r="AJ59">
        <v>2</v>
      </c>
      <c r="AN59" s="25" t="s">
        <v>19</v>
      </c>
      <c r="AO59" t="s">
        <v>392</v>
      </c>
      <c r="AP59">
        <v>28.4</v>
      </c>
    </row>
    <row r="60" spans="1:42" x14ac:dyDescent="0.3">
      <c r="AB60" t="s">
        <v>19</v>
      </c>
      <c r="AC60" t="s">
        <v>670</v>
      </c>
      <c r="AD60">
        <v>4</v>
      </c>
      <c r="AE60">
        <v>204.8</v>
      </c>
      <c r="AH60" s="25" t="s">
        <v>19</v>
      </c>
      <c r="AI60" t="s">
        <v>670</v>
      </c>
      <c r="AJ60">
        <v>4</v>
      </c>
      <c r="AN60" s="25" t="s">
        <v>19</v>
      </c>
      <c r="AO60" t="s">
        <v>670</v>
      </c>
      <c r="AP60">
        <v>204.8</v>
      </c>
    </row>
    <row r="61" spans="1:42" x14ac:dyDescent="0.3">
      <c r="A61" s="12" t="s">
        <v>2557</v>
      </c>
      <c r="B61" t="s">
        <v>2549</v>
      </c>
      <c r="AB61" t="s">
        <v>19</v>
      </c>
      <c r="AC61" t="s">
        <v>802</v>
      </c>
      <c r="AD61">
        <v>31</v>
      </c>
      <c r="AE61">
        <v>1607.8999999999999</v>
      </c>
      <c r="AH61" s="25" t="s">
        <v>19</v>
      </c>
      <c r="AI61" t="s">
        <v>802</v>
      </c>
      <c r="AJ61">
        <v>31</v>
      </c>
      <c r="AN61" s="25" t="s">
        <v>19</v>
      </c>
      <c r="AO61" t="s">
        <v>802</v>
      </c>
      <c r="AP61">
        <v>1607.8999999999999</v>
      </c>
    </row>
    <row r="62" spans="1:42" x14ac:dyDescent="0.3">
      <c r="A62" s="13">
        <v>0</v>
      </c>
      <c r="B62">
        <v>175</v>
      </c>
      <c r="AB62" t="s">
        <v>19</v>
      </c>
      <c r="AC62" t="s">
        <v>98</v>
      </c>
      <c r="AD62">
        <v>88</v>
      </c>
      <c r="AE62">
        <v>6444.9</v>
      </c>
      <c r="AH62" s="25" t="s">
        <v>19</v>
      </c>
      <c r="AI62" t="s">
        <v>98</v>
      </c>
      <c r="AJ62">
        <v>88</v>
      </c>
      <c r="AN62" s="25" t="s">
        <v>19</v>
      </c>
      <c r="AO62" t="s">
        <v>98</v>
      </c>
      <c r="AP62">
        <v>6444.9</v>
      </c>
    </row>
    <row r="63" spans="1:42" x14ac:dyDescent="0.3">
      <c r="A63" s="13">
        <v>1</v>
      </c>
      <c r="B63">
        <v>888</v>
      </c>
      <c r="AB63" t="s">
        <v>19</v>
      </c>
      <c r="AC63" t="s">
        <v>49</v>
      </c>
      <c r="AD63">
        <v>25</v>
      </c>
      <c r="AE63">
        <v>1809.3</v>
      </c>
      <c r="AH63" s="25" t="s">
        <v>19</v>
      </c>
      <c r="AI63" t="s">
        <v>49</v>
      </c>
      <c r="AJ63">
        <v>25</v>
      </c>
      <c r="AN63" s="25" t="s">
        <v>19</v>
      </c>
      <c r="AO63" t="s">
        <v>49</v>
      </c>
      <c r="AP63">
        <v>1809.3</v>
      </c>
    </row>
    <row r="64" spans="1:42" x14ac:dyDescent="0.3">
      <c r="A64" s="13">
        <v>2</v>
      </c>
      <c r="B64">
        <v>538</v>
      </c>
      <c r="AB64" t="s">
        <v>19</v>
      </c>
      <c r="AC64" t="s">
        <v>188</v>
      </c>
      <c r="AD64">
        <v>178</v>
      </c>
      <c r="AE64">
        <v>9680.399999999996</v>
      </c>
      <c r="AH64" s="25" t="s">
        <v>19</v>
      </c>
      <c r="AI64" t="s">
        <v>188</v>
      </c>
      <c r="AJ64">
        <v>178</v>
      </c>
      <c r="AN64" s="25" t="s">
        <v>19</v>
      </c>
      <c r="AO64" t="s">
        <v>188</v>
      </c>
      <c r="AP64">
        <v>9680.399999999996</v>
      </c>
    </row>
    <row r="65" spans="1:42" x14ac:dyDescent="0.3">
      <c r="A65" s="13">
        <v>3</v>
      </c>
      <c r="B65">
        <v>344</v>
      </c>
      <c r="AB65" t="s">
        <v>19</v>
      </c>
      <c r="AC65" t="s">
        <v>52</v>
      </c>
      <c r="AD65">
        <v>141</v>
      </c>
      <c r="AE65">
        <v>9414.7999999999993</v>
      </c>
      <c r="AH65" s="25" t="s">
        <v>19</v>
      </c>
      <c r="AI65" t="s">
        <v>52</v>
      </c>
      <c r="AJ65">
        <v>141</v>
      </c>
      <c r="AN65" s="25" t="s">
        <v>19</v>
      </c>
      <c r="AO65" t="s">
        <v>52</v>
      </c>
      <c r="AP65">
        <v>9414.7999999999993</v>
      </c>
    </row>
    <row r="66" spans="1:42" x14ac:dyDescent="0.3">
      <c r="A66" s="13">
        <v>4</v>
      </c>
      <c r="B66">
        <v>200</v>
      </c>
      <c r="AB66" t="s">
        <v>19</v>
      </c>
      <c r="AC66" t="s">
        <v>338</v>
      </c>
      <c r="AD66">
        <v>6</v>
      </c>
      <c r="AE66">
        <v>206.1</v>
      </c>
      <c r="AH66" s="25" t="s">
        <v>19</v>
      </c>
      <c r="AI66" t="s">
        <v>338</v>
      </c>
      <c r="AJ66">
        <v>6</v>
      </c>
      <c r="AN66" s="25" t="s">
        <v>19</v>
      </c>
      <c r="AO66" t="s">
        <v>338</v>
      </c>
      <c r="AP66">
        <v>206.1</v>
      </c>
    </row>
    <row r="67" spans="1:42" x14ac:dyDescent="0.3">
      <c r="A67" s="13">
        <v>5</v>
      </c>
      <c r="B67">
        <v>94</v>
      </c>
      <c r="AB67" t="s">
        <v>19</v>
      </c>
      <c r="AC67" t="s">
        <v>158</v>
      </c>
      <c r="AD67">
        <v>178</v>
      </c>
      <c r="AE67">
        <v>7691.3</v>
      </c>
      <c r="AH67" s="25" t="s">
        <v>19</v>
      </c>
      <c r="AI67" t="s">
        <v>158</v>
      </c>
      <c r="AJ67">
        <v>178</v>
      </c>
      <c r="AN67" s="25" t="s">
        <v>19</v>
      </c>
      <c r="AO67" t="s">
        <v>158</v>
      </c>
      <c r="AP67">
        <v>7691.3</v>
      </c>
    </row>
    <row r="68" spans="1:42" x14ac:dyDescent="0.3">
      <c r="A68" s="13">
        <v>6</v>
      </c>
      <c r="B68">
        <v>51</v>
      </c>
      <c r="AB68" t="s">
        <v>19</v>
      </c>
      <c r="AC68" t="s">
        <v>55</v>
      </c>
      <c r="AD68">
        <v>699</v>
      </c>
      <c r="AE68">
        <v>37784.900000000016</v>
      </c>
      <c r="AH68" s="25" t="s">
        <v>19</v>
      </c>
      <c r="AI68" t="s">
        <v>55</v>
      </c>
      <c r="AJ68">
        <v>699</v>
      </c>
      <c r="AN68" s="25" t="s">
        <v>19</v>
      </c>
      <c r="AO68" t="s">
        <v>55</v>
      </c>
      <c r="AP68">
        <v>37784.900000000016</v>
      </c>
    </row>
    <row r="69" spans="1:42" x14ac:dyDescent="0.3">
      <c r="A69" s="13">
        <v>7</v>
      </c>
      <c r="B69">
        <v>32</v>
      </c>
      <c r="AB69" t="s">
        <v>19</v>
      </c>
      <c r="AC69" t="s">
        <v>342</v>
      </c>
      <c r="AD69">
        <v>23</v>
      </c>
      <c r="AE69">
        <v>1129.7</v>
      </c>
      <c r="AH69" s="25" t="s">
        <v>19</v>
      </c>
      <c r="AI69" t="s">
        <v>342</v>
      </c>
      <c r="AJ69">
        <v>23</v>
      </c>
      <c r="AN69" s="25" t="s">
        <v>19</v>
      </c>
      <c r="AO69" t="s">
        <v>342</v>
      </c>
      <c r="AP69">
        <v>1129.7</v>
      </c>
    </row>
    <row r="70" spans="1:42" x14ac:dyDescent="0.3">
      <c r="A70" s="13">
        <v>8</v>
      </c>
      <c r="B70">
        <v>23</v>
      </c>
      <c r="AB70" t="s">
        <v>19</v>
      </c>
      <c r="AC70" t="s">
        <v>59</v>
      </c>
      <c r="AD70">
        <v>356</v>
      </c>
      <c r="AE70">
        <v>20988.9</v>
      </c>
      <c r="AH70" s="25" t="s">
        <v>19</v>
      </c>
      <c r="AI70" t="s">
        <v>59</v>
      </c>
      <c r="AJ70">
        <v>356</v>
      </c>
      <c r="AN70" s="25" t="s">
        <v>19</v>
      </c>
      <c r="AO70" t="s">
        <v>59</v>
      </c>
      <c r="AP70">
        <v>20988.9</v>
      </c>
    </row>
    <row r="71" spans="1:42" x14ac:dyDescent="0.3">
      <c r="A71" s="13">
        <v>9</v>
      </c>
      <c r="B71">
        <v>9</v>
      </c>
      <c r="AB71" t="s">
        <v>19</v>
      </c>
      <c r="AC71" t="s">
        <v>62</v>
      </c>
      <c r="AD71">
        <v>1768</v>
      </c>
      <c r="AE71">
        <v>98367.099999999977</v>
      </c>
      <c r="AH71" s="25" t="s">
        <v>19</v>
      </c>
      <c r="AI71" t="s">
        <v>62</v>
      </c>
      <c r="AJ71">
        <v>1768</v>
      </c>
      <c r="AN71" s="25" t="s">
        <v>19</v>
      </c>
      <c r="AO71" t="s">
        <v>62</v>
      </c>
      <c r="AP71">
        <v>98367.099999999977</v>
      </c>
    </row>
    <row r="72" spans="1:42" x14ac:dyDescent="0.3">
      <c r="A72" s="13">
        <v>10</v>
      </c>
      <c r="B72">
        <v>8</v>
      </c>
      <c r="AB72" t="s">
        <v>19</v>
      </c>
      <c r="AC72" t="s">
        <v>103</v>
      </c>
      <c r="AD72">
        <v>307</v>
      </c>
      <c r="AE72">
        <v>21911.9</v>
      </c>
      <c r="AH72" s="25" t="s">
        <v>19</v>
      </c>
      <c r="AI72" t="s">
        <v>103</v>
      </c>
      <c r="AJ72">
        <v>307</v>
      </c>
      <c r="AN72" s="25" t="s">
        <v>19</v>
      </c>
      <c r="AO72" t="s">
        <v>103</v>
      </c>
      <c r="AP72">
        <v>21911.9</v>
      </c>
    </row>
    <row r="73" spans="1:42" x14ac:dyDescent="0.3">
      <c r="A73" s="13">
        <v>11</v>
      </c>
      <c r="B73">
        <v>11</v>
      </c>
      <c r="AB73" t="s">
        <v>19</v>
      </c>
      <c r="AC73" t="s">
        <v>201</v>
      </c>
      <c r="AD73">
        <v>117</v>
      </c>
      <c r="AE73">
        <v>5441.2</v>
      </c>
      <c r="AH73" s="25" t="s">
        <v>19</v>
      </c>
      <c r="AI73" t="s">
        <v>201</v>
      </c>
      <c r="AJ73">
        <v>117</v>
      </c>
      <c r="AN73" s="25" t="s">
        <v>19</v>
      </c>
      <c r="AO73" t="s">
        <v>201</v>
      </c>
      <c r="AP73">
        <v>5441.2</v>
      </c>
    </row>
    <row r="74" spans="1:42" x14ac:dyDescent="0.3">
      <c r="A74" s="13">
        <v>12</v>
      </c>
      <c r="B74">
        <v>4</v>
      </c>
      <c r="AB74" t="s">
        <v>19</v>
      </c>
      <c r="AC74" t="s">
        <v>429</v>
      </c>
      <c r="AD74">
        <v>13</v>
      </c>
      <c r="AE74">
        <v>392.8</v>
      </c>
      <c r="AH74" s="25" t="s">
        <v>19</v>
      </c>
      <c r="AI74" t="s">
        <v>429</v>
      </c>
      <c r="AJ74">
        <v>13</v>
      </c>
      <c r="AN74" s="25" t="s">
        <v>19</v>
      </c>
      <c r="AO74" t="s">
        <v>429</v>
      </c>
      <c r="AP74">
        <v>392.8</v>
      </c>
    </row>
    <row r="75" spans="1:42" x14ac:dyDescent="0.3">
      <c r="A75" s="13">
        <v>13</v>
      </c>
      <c r="B75">
        <v>10</v>
      </c>
      <c r="AB75" t="s">
        <v>19</v>
      </c>
      <c r="AC75" t="s">
        <v>72</v>
      </c>
      <c r="AD75">
        <v>364</v>
      </c>
      <c r="AE75">
        <v>16172.000000000005</v>
      </c>
      <c r="AH75" s="25" t="s">
        <v>19</v>
      </c>
      <c r="AI75" t="s">
        <v>72</v>
      </c>
      <c r="AJ75">
        <v>364</v>
      </c>
      <c r="AN75" s="25" t="s">
        <v>19</v>
      </c>
      <c r="AO75" t="s">
        <v>72</v>
      </c>
      <c r="AP75">
        <v>16172.000000000005</v>
      </c>
    </row>
    <row r="76" spans="1:42" x14ac:dyDescent="0.3">
      <c r="A76" s="13">
        <v>14</v>
      </c>
      <c r="B76">
        <v>13</v>
      </c>
      <c r="AB76" t="s">
        <v>19</v>
      </c>
      <c r="AC76" t="s">
        <v>74</v>
      </c>
      <c r="AD76">
        <v>95</v>
      </c>
      <c r="AE76">
        <v>4334.9999999999991</v>
      </c>
      <c r="AH76" s="25" t="s">
        <v>19</v>
      </c>
      <c r="AI76" t="s">
        <v>74</v>
      </c>
      <c r="AJ76">
        <v>95</v>
      </c>
      <c r="AN76" s="25" t="s">
        <v>19</v>
      </c>
      <c r="AO76" t="s">
        <v>74</v>
      </c>
      <c r="AP76">
        <v>4334.9999999999991</v>
      </c>
    </row>
    <row r="77" spans="1:42" x14ac:dyDescent="0.3">
      <c r="A77" s="13" t="s">
        <v>2558</v>
      </c>
      <c r="B77">
        <v>2400</v>
      </c>
      <c r="AB77" t="s">
        <v>19</v>
      </c>
      <c r="AC77" t="s">
        <v>77</v>
      </c>
      <c r="AD77">
        <v>737</v>
      </c>
      <c r="AE77">
        <v>37449.000000000007</v>
      </c>
      <c r="AH77" s="25" t="s">
        <v>19</v>
      </c>
      <c r="AI77" t="s">
        <v>77</v>
      </c>
      <c r="AJ77">
        <v>737</v>
      </c>
      <c r="AN77" s="25" t="s">
        <v>19</v>
      </c>
      <c r="AO77" t="s">
        <v>77</v>
      </c>
      <c r="AP77">
        <v>37449.000000000007</v>
      </c>
    </row>
    <row r="78" spans="1:42" x14ac:dyDescent="0.3">
      <c r="AB78" t="s">
        <v>19</v>
      </c>
      <c r="AC78" t="s">
        <v>309</v>
      </c>
      <c r="AD78">
        <v>39</v>
      </c>
      <c r="AE78">
        <v>2447.5</v>
      </c>
      <c r="AH78" s="25" t="s">
        <v>19</v>
      </c>
      <c r="AI78" t="s">
        <v>309</v>
      </c>
      <c r="AJ78">
        <v>39</v>
      </c>
      <c r="AN78" s="25" t="s">
        <v>19</v>
      </c>
      <c r="AO78" t="s">
        <v>309</v>
      </c>
      <c r="AP78">
        <v>2447.5</v>
      </c>
    </row>
    <row r="79" spans="1:42" x14ac:dyDescent="0.3">
      <c r="AB79" t="s">
        <v>19</v>
      </c>
      <c r="AC79" t="s">
        <v>1116</v>
      </c>
      <c r="AD79">
        <v>56</v>
      </c>
      <c r="AE79">
        <v>3391.1</v>
      </c>
      <c r="AH79" s="25" t="s">
        <v>19</v>
      </c>
      <c r="AI79" t="s">
        <v>1116</v>
      </c>
      <c r="AJ79">
        <v>56</v>
      </c>
      <c r="AN79" s="25" t="s">
        <v>19</v>
      </c>
      <c r="AO79" t="s">
        <v>1116</v>
      </c>
      <c r="AP79">
        <v>3391.1</v>
      </c>
    </row>
    <row r="80" spans="1:42" x14ac:dyDescent="0.3">
      <c r="AB80" t="s">
        <v>19</v>
      </c>
      <c r="AC80" t="s">
        <v>700</v>
      </c>
      <c r="AD80">
        <v>2</v>
      </c>
      <c r="AE80">
        <v>30.8</v>
      </c>
      <c r="AH80" s="25" t="s">
        <v>19</v>
      </c>
      <c r="AI80" t="s">
        <v>700</v>
      </c>
      <c r="AJ80">
        <v>2</v>
      </c>
      <c r="AN80" s="25" t="s">
        <v>19</v>
      </c>
      <c r="AO80" t="s">
        <v>700</v>
      </c>
      <c r="AP80">
        <v>30.8</v>
      </c>
    </row>
    <row r="81" spans="1:42" x14ac:dyDescent="0.3">
      <c r="AB81" t="s">
        <v>19</v>
      </c>
      <c r="AC81" t="s">
        <v>268</v>
      </c>
      <c r="AD81">
        <v>8</v>
      </c>
      <c r="AE81">
        <v>332.3</v>
      </c>
      <c r="AH81" s="25" t="s">
        <v>19</v>
      </c>
      <c r="AI81" t="s">
        <v>268</v>
      </c>
      <c r="AJ81">
        <v>8</v>
      </c>
      <c r="AN81" s="25" t="s">
        <v>19</v>
      </c>
      <c r="AO81" t="s">
        <v>268</v>
      </c>
      <c r="AP81">
        <v>332.3</v>
      </c>
    </row>
    <row r="82" spans="1:42" x14ac:dyDescent="0.3">
      <c r="AB82" t="s">
        <v>19</v>
      </c>
      <c r="AC82" t="s">
        <v>377</v>
      </c>
      <c r="AD82">
        <v>52</v>
      </c>
      <c r="AE82">
        <v>3175.9999999999995</v>
      </c>
      <c r="AH82" s="25" t="s">
        <v>19</v>
      </c>
      <c r="AI82" t="s">
        <v>377</v>
      </c>
      <c r="AJ82">
        <v>52</v>
      </c>
      <c r="AN82" s="25" t="s">
        <v>19</v>
      </c>
      <c r="AO82" t="s">
        <v>377</v>
      </c>
      <c r="AP82">
        <v>3175.9999999999995</v>
      </c>
    </row>
    <row r="83" spans="1:42" x14ac:dyDescent="0.3">
      <c r="AB83" t="s">
        <v>19</v>
      </c>
      <c r="AC83" t="s">
        <v>108</v>
      </c>
      <c r="AD83">
        <v>295</v>
      </c>
      <c r="AE83">
        <v>20939.600000000002</v>
      </c>
      <c r="AH83" s="25" t="s">
        <v>19</v>
      </c>
      <c r="AI83" t="s">
        <v>108</v>
      </c>
      <c r="AJ83">
        <v>295</v>
      </c>
      <c r="AN83" s="25" t="s">
        <v>19</v>
      </c>
      <c r="AO83" t="s">
        <v>108</v>
      </c>
      <c r="AP83">
        <v>20939.600000000002</v>
      </c>
    </row>
    <row r="84" spans="1:42" x14ac:dyDescent="0.3">
      <c r="AB84" t="s">
        <v>19</v>
      </c>
      <c r="AC84" t="s">
        <v>110</v>
      </c>
      <c r="AD84">
        <v>195</v>
      </c>
      <c r="AE84">
        <v>10185.899999999996</v>
      </c>
      <c r="AH84" s="25" t="s">
        <v>19</v>
      </c>
      <c r="AI84" t="s">
        <v>110</v>
      </c>
      <c r="AJ84">
        <v>195</v>
      </c>
      <c r="AN84" s="25" t="s">
        <v>19</v>
      </c>
      <c r="AO84" t="s">
        <v>110</v>
      </c>
      <c r="AP84">
        <v>10185.899999999996</v>
      </c>
    </row>
    <row r="85" spans="1:42" x14ac:dyDescent="0.3">
      <c r="A85" s="12" t="s">
        <v>2557</v>
      </c>
      <c r="B85" t="s">
        <v>2549</v>
      </c>
      <c r="AB85" t="s">
        <v>19</v>
      </c>
      <c r="AC85" t="s">
        <v>292</v>
      </c>
      <c r="AD85">
        <v>20</v>
      </c>
      <c r="AE85">
        <v>958.7</v>
      </c>
      <c r="AH85" s="25" t="s">
        <v>19</v>
      </c>
      <c r="AI85" t="s">
        <v>292</v>
      </c>
      <c r="AJ85">
        <v>20</v>
      </c>
      <c r="AN85" s="25" t="s">
        <v>19</v>
      </c>
      <c r="AO85" t="s">
        <v>292</v>
      </c>
      <c r="AP85">
        <v>958.7</v>
      </c>
    </row>
    <row r="86" spans="1:42" x14ac:dyDescent="0.3">
      <c r="A86" s="13">
        <v>1</v>
      </c>
      <c r="B86">
        <v>21</v>
      </c>
      <c r="AB86" t="s">
        <v>19</v>
      </c>
      <c r="AC86" t="s">
        <v>79</v>
      </c>
      <c r="AD86">
        <v>6</v>
      </c>
      <c r="AE86">
        <v>323</v>
      </c>
      <c r="AH86" s="25" t="s">
        <v>19</v>
      </c>
      <c r="AI86" t="s">
        <v>79</v>
      </c>
      <c r="AJ86">
        <v>6</v>
      </c>
      <c r="AN86" s="25" t="s">
        <v>19</v>
      </c>
      <c r="AO86" t="s">
        <v>79</v>
      </c>
      <c r="AP86">
        <v>323</v>
      </c>
    </row>
    <row r="87" spans="1:42" x14ac:dyDescent="0.3">
      <c r="A87" s="13">
        <v>2</v>
      </c>
      <c r="B87">
        <v>127</v>
      </c>
      <c r="AB87" t="s">
        <v>19</v>
      </c>
      <c r="AC87" t="s">
        <v>608</v>
      </c>
      <c r="AD87">
        <v>5</v>
      </c>
      <c r="AE87">
        <v>167.70000000000002</v>
      </c>
      <c r="AH87" s="25" t="s">
        <v>19</v>
      </c>
      <c r="AI87" t="s">
        <v>608</v>
      </c>
      <c r="AJ87">
        <v>5</v>
      </c>
      <c r="AN87" s="25" t="s">
        <v>19</v>
      </c>
      <c r="AO87" t="s">
        <v>608</v>
      </c>
      <c r="AP87">
        <v>167.70000000000002</v>
      </c>
    </row>
    <row r="88" spans="1:42" x14ac:dyDescent="0.3">
      <c r="A88" s="13">
        <v>3</v>
      </c>
      <c r="B88">
        <v>495</v>
      </c>
      <c r="AB88" t="s">
        <v>19</v>
      </c>
      <c r="AC88" t="s">
        <v>113</v>
      </c>
      <c r="AD88">
        <v>94</v>
      </c>
      <c r="AE88">
        <v>3978.5</v>
      </c>
      <c r="AH88" s="25" t="s">
        <v>19</v>
      </c>
      <c r="AI88" t="s">
        <v>113</v>
      </c>
      <c r="AJ88">
        <v>94</v>
      </c>
      <c r="AN88" s="25" t="s">
        <v>19</v>
      </c>
      <c r="AO88" t="s">
        <v>113</v>
      </c>
      <c r="AP88">
        <v>3978.5</v>
      </c>
    </row>
    <row r="89" spans="1:42" x14ac:dyDescent="0.3">
      <c r="A89" s="13">
        <v>4</v>
      </c>
      <c r="B89">
        <v>1036</v>
      </c>
      <c r="AB89" t="s">
        <v>19</v>
      </c>
      <c r="AC89" t="s">
        <v>997</v>
      </c>
      <c r="AD89">
        <v>28</v>
      </c>
      <c r="AE89">
        <v>1405</v>
      </c>
      <c r="AH89" s="25" t="s">
        <v>19</v>
      </c>
      <c r="AI89" t="s">
        <v>997</v>
      </c>
      <c r="AJ89">
        <v>28</v>
      </c>
      <c r="AN89" s="25" t="s">
        <v>19</v>
      </c>
      <c r="AO89" t="s">
        <v>997</v>
      </c>
      <c r="AP89">
        <v>1405</v>
      </c>
    </row>
    <row r="90" spans="1:42" x14ac:dyDescent="0.3">
      <c r="A90" s="13">
        <v>5</v>
      </c>
      <c r="B90">
        <v>721</v>
      </c>
      <c r="AB90" t="s">
        <v>19</v>
      </c>
      <c r="AC90" t="s">
        <v>82</v>
      </c>
      <c r="AD90">
        <v>179</v>
      </c>
      <c r="AE90">
        <v>9869.0999999999985</v>
      </c>
      <c r="AH90" s="25" t="s">
        <v>19</v>
      </c>
      <c r="AI90" t="s">
        <v>82</v>
      </c>
      <c r="AJ90">
        <v>179</v>
      </c>
      <c r="AN90" s="25" t="s">
        <v>19</v>
      </c>
      <c r="AO90" t="s">
        <v>82</v>
      </c>
      <c r="AP90">
        <v>9869.0999999999985</v>
      </c>
    </row>
    <row r="91" spans="1:42" x14ac:dyDescent="0.3">
      <c r="A91" s="13" t="s">
        <v>2558</v>
      </c>
      <c r="B91">
        <v>2400</v>
      </c>
      <c r="AB91" t="s">
        <v>19</v>
      </c>
      <c r="AC91" t="s">
        <v>243</v>
      </c>
      <c r="AD91">
        <v>15</v>
      </c>
      <c r="AE91">
        <v>615.29999999999995</v>
      </c>
      <c r="AH91" s="25" t="s">
        <v>19</v>
      </c>
      <c r="AI91" t="s">
        <v>243</v>
      </c>
      <c r="AJ91">
        <v>15</v>
      </c>
      <c r="AN91" s="25" t="s">
        <v>19</v>
      </c>
      <c r="AO91" t="s">
        <v>243</v>
      </c>
      <c r="AP91">
        <v>615.29999999999995</v>
      </c>
    </row>
    <row r="92" spans="1:42" x14ac:dyDescent="0.3">
      <c r="AB92" t="s">
        <v>19</v>
      </c>
      <c r="AC92" t="s">
        <v>1911</v>
      </c>
      <c r="AD92">
        <v>3</v>
      </c>
      <c r="AE92">
        <v>285</v>
      </c>
      <c r="AH92" s="26" t="s">
        <v>19</v>
      </c>
      <c r="AI92" t="s">
        <v>1911</v>
      </c>
      <c r="AJ92">
        <v>3</v>
      </c>
      <c r="AN92" s="26" t="s">
        <v>19</v>
      </c>
      <c r="AO92" t="s">
        <v>1911</v>
      </c>
      <c r="AP92">
        <v>285</v>
      </c>
    </row>
    <row r="93" spans="1:42" x14ac:dyDescent="0.3">
      <c r="AB93" t="s">
        <v>2558</v>
      </c>
      <c r="AD93">
        <v>11997</v>
      </c>
      <c r="AE93">
        <v>649019.79999999981</v>
      </c>
    </row>
  </sheetData>
  <conditionalFormatting sqref="J5:M9">
    <cfRule type="colorScale" priority="1">
      <colorScale>
        <cfvo type="min"/>
        <cfvo type="percentile" val="50"/>
        <cfvo type="max"/>
        <color rgb="FF5A8AC6"/>
        <color rgb="FFFCFCFF"/>
        <color rgb="FFF8696B"/>
      </colorScale>
    </cfRule>
  </conditionalFormatting>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A55D-930E-4171-85EC-C9863476B0C0}">
  <dimension ref="A3:K35"/>
  <sheetViews>
    <sheetView workbookViewId="0">
      <selection sqref="A1:XFD1"/>
    </sheetView>
  </sheetViews>
  <sheetFormatPr defaultRowHeight="14.4" x14ac:dyDescent="0.3"/>
  <cols>
    <col min="1" max="1" width="12.44140625" bestFit="1" customWidth="1"/>
    <col min="2" max="2" width="14.21875" bestFit="1" customWidth="1"/>
    <col min="3" max="3" width="13.5546875" bestFit="1" customWidth="1"/>
    <col min="4" max="4" width="4" bestFit="1" customWidth="1"/>
    <col min="5" max="5" width="5" bestFit="1" customWidth="1"/>
    <col min="6" max="6" width="4" bestFit="1" customWidth="1"/>
    <col min="7" max="7" width="10.5546875" bestFit="1" customWidth="1"/>
    <col min="8" max="19" width="9.44140625" bestFit="1" customWidth="1"/>
    <col min="20" max="20" width="6.44140625" bestFit="1" customWidth="1"/>
    <col min="21" max="41" width="9" bestFit="1" customWidth="1"/>
    <col min="42" max="85" width="9.44140625" bestFit="1" customWidth="1"/>
    <col min="86" max="86" width="6.44140625" bestFit="1" customWidth="1"/>
    <col min="87" max="117" width="9" bestFit="1" customWidth="1"/>
    <col min="118" max="174" width="9.44140625" bestFit="1" customWidth="1"/>
    <col min="175" max="175" width="6.44140625" bestFit="1" customWidth="1"/>
    <col min="176" max="206" width="9" bestFit="1" customWidth="1"/>
    <col min="207" max="263" width="9.44140625" bestFit="1" customWidth="1"/>
    <col min="264" max="264" width="6.44140625" bestFit="1" customWidth="1"/>
    <col min="265" max="295" width="9" bestFit="1" customWidth="1"/>
    <col min="296" max="352" width="9.44140625" bestFit="1" customWidth="1"/>
    <col min="353" max="353" width="6.44140625" bestFit="1" customWidth="1"/>
    <col min="354" max="354" width="10.5546875" bestFit="1" customWidth="1"/>
  </cols>
  <sheetData>
    <row r="3" spans="1:11" x14ac:dyDescent="0.3">
      <c r="A3" t="s">
        <v>2549</v>
      </c>
      <c r="B3" t="s">
        <v>2550</v>
      </c>
      <c r="C3" t="s">
        <v>2551</v>
      </c>
      <c r="D3" t="s">
        <v>2555</v>
      </c>
      <c r="E3" t="s">
        <v>2556</v>
      </c>
      <c r="G3" t="s">
        <v>2552</v>
      </c>
      <c r="H3" t="s">
        <v>2553</v>
      </c>
      <c r="I3" t="s">
        <v>4</v>
      </c>
      <c r="J3" t="s">
        <v>2536</v>
      </c>
      <c r="K3" t="s">
        <v>2554</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9" spans="1:11" x14ac:dyDescent="0.3">
      <c r="A9" s="12" t="s">
        <v>2557</v>
      </c>
      <c r="B9" t="s">
        <v>2550</v>
      </c>
      <c r="C9" t="s">
        <v>2551</v>
      </c>
    </row>
    <row r="10" spans="1:11" x14ac:dyDescent="0.3">
      <c r="A10" s="13">
        <v>1</v>
      </c>
      <c r="B10">
        <v>546</v>
      </c>
      <c r="C10" s="14">
        <v>32413.300000000003</v>
      </c>
    </row>
    <row r="11" spans="1:11" x14ac:dyDescent="0.3">
      <c r="A11" s="13">
        <v>2</v>
      </c>
      <c r="B11">
        <v>905</v>
      </c>
      <c r="C11" s="14">
        <v>49562.999999999993</v>
      </c>
    </row>
    <row r="12" spans="1:11" x14ac:dyDescent="0.3">
      <c r="A12" s="13">
        <v>3</v>
      </c>
      <c r="B12">
        <v>796</v>
      </c>
      <c r="C12" s="14">
        <v>41700.400000000016</v>
      </c>
    </row>
    <row r="13" spans="1:11" x14ac:dyDescent="0.3">
      <c r="A13" s="13">
        <v>4</v>
      </c>
      <c r="B13">
        <v>913</v>
      </c>
      <c r="C13" s="14">
        <v>46782.599999999984</v>
      </c>
    </row>
    <row r="14" spans="1:11" x14ac:dyDescent="0.3">
      <c r="A14" s="13">
        <v>5</v>
      </c>
      <c r="B14">
        <v>844</v>
      </c>
      <c r="C14" s="14">
        <v>42676.100000000006</v>
      </c>
    </row>
    <row r="15" spans="1:11" x14ac:dyDescent="0.3">
      <c r="A15" s="13">
        <v>6</v>
      </c>
      <c r="B15">
        <v>1202</v>
      </c>
      <c r="C15" s="14">
        <v>62910.7</v>
      </c>
    </row>
    <row r="16" spans="1:11" x14ac:dyDescent="0.3">
      <c r="A16" s="13">
        <v>7</v>
      </c>
      <c r="B16">
        <v>935</v>
      </c>
      <c r="C16" s="14">
        <v>50332.200000000004</v>
      </c>
    </row>
    <row r="17" spans="1:7" x14ac:dyDescent="0.3">
      <c r="A17" s="13">
        <v>8</v>
      </c>
      <c r="B17">
        <v>1128</v>
      </c>
      <c r="C17" s="14">
        <v>58760.599999999977</v>
      </c>
    </row>
    <row r="18" spans="1:7" x14ac:dyDescent="0.3">
      <c r="A18" s="13">
        <v>9</v>
      </c>
      <c r="B18">
        <v>1007</v>
      </c>
      <c r="C18" s="14">
        <v>52017.299999999996</v>
      </c>
    </row>
    <row r="19" spans="1:7" x14ac:dyDescent="0.3">
      <c r="A19" s="13">
        <v>10</v>
      </c>
      <c r="B19">
        <v>1128</v>
      </c>
      <c r="C19" s="14">
        <v>64915.700000000033</v>
      </c>
    </row>
    <row r="20" spans="1:7" x14ac:dyDescent="0.3">
      <c r="A20" s="13">
        <v>11</v>
      </c>
      <c r="B20">
        <v>861</v>
      </c>
      <c r="C20" s="14">
        <v>45943.80000000001</v>
      </c>
    </row>
    <row r="21" spans="1:7" x14ac:dyDescent="0.3">
      <c r="A21" s="13">
        <v>12</v>
      </c>
      <c r="B21">
        <v>944</v>
      </c>
      <c r="C21" s="14">
        <v>55077.900000000031</v>
      </c>
    </row>
    <row r="22" spans="1:7" x14ac:dyDescent="0.3">
      <c r="A22" s="13">
        <v>13</v>
      </c>
      <c r="B22">
        <v>788</v>
      </c>
      <c r="C22" s="14">
        <v>45926.19999999999</v>
      </c>
    </row>
    <row r="23" spans="1:7" x14ac:dyDescent="0.3">
      <c r="A23" s="13" t="s">
        <v>2558</v>
      </c>
      <c r="B23">
        <v>11997</v>
      </c>
      <c r="C23" s="14">
        <v>649019.79999999993</v>
      </c>
    </row>
    <row r="30" spans="1:7" x14ac:dyDescent="0.3">
      <c r="A30" s="12" t="s">
        <v>2549</v>
      </c>
      <c r="B30" s="12" t="s">
        <v>2559</v>
      </c>
    </row>
    <row r="31" spans="1:7" x14ac:dyDescent="0.3">
      <c r="A31" s="12" t="s">
        <v>2557</v>
      </c>
      <c r="B31">
        <v>1</v>
      </c>
      <c r="C31">
        <v>2</v>
      </c>
      <c r="D31">
        <v>3</v>
      </c>
      <c r="E31">
        <v>4</v>
      </c>
      <c r="F31">
        <v>5</v>
      </c>
      <c r="G31" t="s">
        <v>2558</v>
      </c>
    </row>
    <row r="32" spans="1:7" x14ac:dyDescent="0.3">
      <c r="A32" s="13" t="s">
        <v>2571</v>
      </c>
      <c r="B32">
        <v>7</v>
      </c>
      <c r="C32">
        <v>37</v>
      </c>
      <c r="D32">
        <v>150</v>
      </c>
      <c r="E32">
        <v>312</v>
      </c>
      <c r="F32">
        <v>224</v>
      </c>
      <c r="G32">
        <v>730</v>
      </c>
    </row>
    <row r="33" spans="1:7" x14ac:dyDescent="0.3">
      <c r="A33" s="13" t="s">
        <v>2572</v>
      </c>
      <c r="B33">
        <v>8</v>
      </c>
      <c r="C33">
        <v>51</v>
      </c>
      <c r="D33">
        <v>182</v>
      </c>
      <c r="E33">
        <v>373</v>
      </c>
      <c r="F33">
        <v>247</v>
      </c>
      <c r="G33">
        <v>861</v>
      </c>
    </row>
    <row r="34" spans="1:7" x14ac:dyDescent="0.3">
      <c r="A34" s="13" t="s">
        <v>2573</v>
      </c>
      <c r="B34">
        <v>6</v>
      </c>
      <c r="C34">
        <v>39</v>
      </c>
      <c r="D34">
        <v>163</v>
      </c>
      <c r="E34">
        <v>351</v>
      </c>
      <c r="F34">
        <v>250</v>
      </c>
      <c r="G34">
        <v>809</v>
      </c>
    </row>
    <row r="35" spans="1:7" x14ac:dyDescent="0.3">
      <c r="A35" s="13" t="s">
        <v>2558</v>
      </c>
      <c r="B35">
        <v>21</v>
      </c>
      <c r="C35">
        <v>127</v>
      </c>
      <c r="D35">
        <v>495</v>
      </c>
      <c r="E35">
        <v>1036</v>
      </c>
      <c r="F35">
        <v>721</v>
      </c>
      <c r="G35">
        <v>2400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7" sqref="B1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15" sqref="B15"/>
    </sheetView>
  </sheetViews>
  <sheetFormatPr defaultRowHeight="14.4" x14ac:dyDescent="0.3"/>
  <cols>
    <col min="1" max="1" width="3.33203125" customWidth="1"/>
    <col min="8" max="8" width="37.33203125" customWidth="1"/>
  </cols>
  <sheetData>
    <row r="2" spans="2:8" x14ac:dyDescent="0.3">
      <c r="H2" t="s">
        <v>2545</v>
      </c>
    </row>
    <row r="3" spans="2:8" x14ac:dyDescent="0.3">
      <c r="B3" t="s">
        <v>2518</v>
      </c>
    </row>
    <row r="4" spans="2:8" x14ac:dyDescent="0.3">
      <c r="H4" s="11" t="s">
        <v>2546</v>
      </c>
    </row>
    <row r="5" spans="2:8" x14ac:dyDescent="0.3">
      <c r="B5" t="s">
        <v>2519</v>
      </c>
      <c r="H5" s="11" t="s">
        <v>2547</v>
      </c>
    </row>
    <row r="6" spans="2:8" x14ac:dyDescent="0.3">
      <c r="B6" s="5"/>
      <c r="C6" t="s">
        <v>2520</v>
      </c>
      <c r="D6" t="s">
        <v>2526</v>
      </c>
      <c r="H6" t="s">
        <v>2548</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2535</v>
      </c>
    </row>
    <row r="15" spans="2:8" x14ac:dyDescent="0.3">
      <c r="B15" t="s">
        <v>2534</v>
      </c>
      <c r="C15" t="s">
        <v>2</v>
      </c>
    </row>
    <row r="16" spans="2:8" x14ac:dyDescent="0.3">
      <c r="B16" t="s">
        <v>2534</v>
      </c>
      <c r="C16" t="s">
        <v>4</v>
      </c>
    </row>
    <row r="17" spans="2:3" x14ac:dyDescent="0.3">
      <c r="B17" t="s">
        <v>2534</v>
      </c>
      <c r="C17" t="s">
        <v>2536</v>
      </c>
    </row>
    <row r="18" spans="2:3" x14ac:dyDescent="0.3">
      <c r="B18" t="s">
        <v>2534</v>
      </c>
      <c r="C18" t="s">
        <v>2537</v>
      </c>
    </row>
    <row r="21" spans="2:3" x14ac:dyDescent="0.3">
      <c r="B21" t="s">
        <v>2538</v>
      </c>
    </row>
    <row r="22" spans="2:3" x14ac:dyDescent="0.3">
      <c r="B22" t="s">
        <v>2539</v>
      </c>
      <c r="C22" t="s">
        <v>2540</v>
      </c>
    </row>
    <row r="23" spans="2:3" x14ac:dyDescent="0.3">
      <c r="B23" t="s">
        <v>2541</v>
      </c>
      <c r="C23" t="s">
        <v>2542</v>
      </c>
    </row>
    <row r="24" spans="2:3" x14ac:dyDescent="0.3">
      <c r="B24" s="10" t="s">
        <v>2543</v>
      </c>
      <c r="C24" t="s">
        <v>2544</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G1:K8"/>
  <sheetViews>
    <sheetView tabSelected="1" zoomScale="92" zoomScaleNormal="85" workbookViewId="0">
      <selection activeCell="L54" sqref="L54"/>
    </sheetView>
  </sheetViews>
  <sheetFormatPr defaultRowHeight="14.4" x14ac:dyDescent="0.3"/>
  <cols>
    <col min="1" max="1" width="3.33203125" customWidth="1"/>
    <col min="2" max="2" width="22.21875" customWidth="1"/>
    <col min="3" max="4" width="3.33203125" customWidth="1"/>
    <col min="26" max="26" width="3.33203125" customWidth="1"/>
  </cols>
  <sheetData>
    <row r="1" spans="7:11" ht="18.600000000000001" customHeight="1" x14ac:dyDescent="0.3"/>
    <row r="3" spans="7:11" x14ac:dyDescent="0.3">
      <c r="H3" t="e" cm="1">
        <f t="array" ref="H3">#REF!</f>
        <v>#REF!</v>
      </c>
    </row>
    <row r="4" spans="7:11" x14ac:dyDescent="0.3">
      <c r="G4" s="17" t="e" cm="1">
        <f t="array" ref="G4">#REF!</f>
        <v>#REF!</v>
      </c>
      <c r="H4" s="23"/>
      <c r="I4" s="23"/>
      <c r="J4" s="23"/>
      <c r="K4" s="24"/>
    </row>
    <row r="5" spans="7:11" x14ac:dyDescent="0.3">
      <c r="G5" s="18"/>
      <c r="H5" s="16"/>
      <c r="I5" s="16"/>
      <c r="J5" s="16"/>
      <c r="K5" s="19"/>
    </row>
    <row r="6" spans="7:11" x14ac:dyDescent="0.3">
      <c r="G6" s="18"/>
      <c r="H6" s="16"/>
      <c r="I6" s="16"/>
      <c r="J6" s="16"/>
      <c r="K6" s="19"/>
    </row>
    <row r="7" spans="7:11" x14ac:dyDescent="0.3">
      <c r="G7" s="18"/>
      <c r="H7" s="16"/>
      <c r="I7" s="16"/>
      <c r="J7" s="16"/>
      <c r="K7" s="19"/>
    </row>
    <row r="8" spans="7:11" x14ac:dyDescent="0.3">
      <c r="G8" s="20"/>
      <c r="H8" s="21"/>
      <c r="I8" s="21"/>
      <c r="J8" s="21"/>
      <c r="K8" s="22"/>
    </row>
  </sheetData>
  <conditionalFormatting sqref="H4:K8">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Sheet1</vt:lpstr>
      <vt:lpstr>pivots</vt:lpstr>
      <vt:lpstr>Questions &amp; KPIs</vt:lpstr>
      <vt:lpstr>Logo &amp; Colors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ajay kumar</cp:lastModifiedBy>
  <dcterms:created xsi:type="dcterms:W3CDTF">2025-06-13T02:42:26Z</dcterms:created>
  <dcterms:modified xsi:type="dcterms:W3CDTF">2026-05-08T16:19:18Z</dcterms:modified>
</cp:coreProperties>
</file>